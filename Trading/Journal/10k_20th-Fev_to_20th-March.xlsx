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ItzShaidSk\Trading\"/>
    </mc:Choice>
  </mc:AlternateContent>
  <xr:revisionPtr revIDLastSave="689" documentId="8_{A60B2D8D-389B-4E38-B0AB-D22123B90104}" xr6:coauthVersionLast="41" xr6:coauthVersionMax="41" xr10:uidLastSave="{8F1EA869-4507-4356-BFA1-9CFEBB0DCE5F}"/>
  <bookViews>
    <workbookView xWindow="-120" yWindow="-120" windowWidth="29040" windowHeight="15720" activeTab="2" xr2:uid="{BCD9D66A-9A51-41A5-AA12-CD1273873461}"/>
  </bookViews>
  <sheets>
    <sheet name="Trade-Entry" sheetId="1" r:id="rId1"/>
    <sheet name="Exness" sheetId="3" r:id="rId2"/>
    <sheet name="PNL" sheetId="2" r:id="rId3"/>
  </sheets>
  <definedNames>
    <definedName name="_xlnm._FilterDatabase" localSheetId="1" hidden="1">Exness!$A$1:$J$289</definedName>
    <definedName name="_xlnm._FilterDatabase" localSheetId="2" hidden="1">PNL!$A$1:$F$3</definedName>
    <definedName name="_xlnm._FilterDatabase" localSheetId="0" hidden="1">'Trade-Entry'!$A$1:$M$1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F3" i="2" l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</calcChain>
</file>

<file path=xl/sharedStrings.xml><?xml version="1.0" encoding="utf-8"?>
<sst xmlns="http://schemas.openxmlformats.org/spreadsheetml/2006/main" count="911" uniqueCount="332">
  <si>
    <t>Date</t>
  </si>
  <si>
    <t>Session</t>
  </si>
  <si>
    <t>Reason why i entered</t>
  </si>
  <si>
    <t>Time frame</t>
  </si>
  <si>
    <t>LOTs</t>
  </si>
  <si>
    <t>TP</t>
  </si>
  <si>
    <t>SL</t>
  </si>
  <si>
    <t>TRADE OUTCOME</t>
  </si>
  <si>
    <t>EMOTIONS</t>
  </si>
  <si>
    <t>Pair</t>
  </si>
  <si>
    <t>Final Outup</t>
  </si>
  <si>
    <t>After Trade close</t>
  </si>
  <si>
    <t>Total balance</t>
  </si>
  <si>
    <t>Actual TP IN PIPS</t>
  </si>
  <si>
    <t>Actual SL IN PIPS</t>
  </si>
  <si>
    <t>Loss</t>
  </si>
  <si>
    <t>Profit</t>
  </si>
  <si>
    <t>20.02.2025</t>
  </si>
  <si>
    <t>XAUUSD</t>
  </si>
  <si>
    <t>Starting with 9.95 Scalping with high risk and high profit</t>
  </si>
  <si>
    <t>Balance in profit</t>
  </si>
  <si>
    <t>21.02.2025</t>
  </si>
  <si>
    <t>24.02.2025</t>
  </si>
  <si>
    <t>Unrealised Loss</t>
  </si>
  <si>
    <t>Start in</t>
  </si>
  <si>
    <t>25.02.2025</t>
  </si>
  <si>
    <t>Profit_usd</t>
  </si>
  <si>
    <t>type</t>
  </si>
  <si>
    <t>lots</t>
  </si>
  <si>
    <t>original_position_size</t>
  </si>
  <si>
    <t>symbol</t>
  </si>
  <si>
    <t>opening_price</t>
  </si>
  <si>
    <t>stop_loss</t>
  </si>
  <si>
    <t>take_profit</t>
  </si>
  <si>
    <t>profit_usd</t>
  </si>
  <si>
    <t>equity_usd</t>
  </si>
  <si>
    <t>2025-02-27T08:19:43.469000</t>
  </si>
  <si>
    <t>sell</t>
  </si>
  <si>
    <t>XAUUSDm</t>
  </si>
  <si>
    <t>2025-02-27T08:18:51.745000</t>
  </si>
  <si>
    <t>2025-02-27T08:18:55.850000</t>
  </si>
  <si>
    <t>2025-02-27T08:18:47.441000</t>
  </si>
  <si>
    <t>2025-02-27T08:18:45.883000</t>
  </si>
  <si>
    <t>2025-02-27T08:18:39.921000</t>
  </si>
  <si>
    <t>2025-02-27T08:18:35.394000</t>
  </si>
  <si>
    <t>2025-02-27T08:18:06.693000</t>
  </si>
  <si>
    <t>2025-02-27T08:17:52.968000</t>
  </si>
  <si>
    <t>2025-02-27T08:17:48.490000</t>
  </si>
  <si>
    <t>2025-02-27T08:17:50.815000</t>
  </si>
  <si>
    <t>2025-02-27T07:17:07.912000</t>
  </si>
  <si>
    <t>buy</t>
  </si>
  <si>
    <t>2025-02-27T07:17:05.960000</t>
  </si>
  <si>
    <t>2025-02-27T07:17:02.025000</t>
  </si>
  <si>
    <t>2025-02-27T07:16:58.405000</t>
  </si>
  <si>
    <t>2025-02-27T07:16:48.317000</t>
  </si>
  <si>
    <t>2025-02-27T07:16:47.650000</t>
  </si>
  <si>
    <t>2025-02-27T07:16:46.693000</t>
  </si>
  <si>
    <t>2025-02-27T07:16:45.492000</t>
  </si>
  <si>
    <t>2025-02-27T07:16:44.177000</t>
  </si>
  <si>
    <t>2025-02-27T07:10:54.808000</t>
  </si>
  <si>
    <t>2025-02-27T07:10:54.349000</t>
  </si>
  <si>
    <t>2025-02-27T07:10:26.263000</t>
  </si>
  <si>
    <t>2025-02-27T07:10:23.493000</t>
  </si>
  <si>
    <t>2025-02-27T07:10:18.372000</t>
  </si>
  <si>
    <t>2025-02-27T07:10:16.854000</t>
  </si>
  <si>
    <t>2025-02-27T07:10:14.215000</t>
  </si>
  <si>
    <t>2025-02-27T07:10:16.140000</t>
  </si>
  <si>
    <t>2025-02-27T06:44:26.493000</t>
  </si>
  <si>
    <t>2025-02-27T06:44:35.523000</t>
  </si>
  <si>
    <t>2025-02-27T06:44:23.233000</t>
  </si>
  <si>
    <t>2025-02-27T06:44:06.868000</t>
  </si>
  <si>
    <t>2025-02-27T06:15:16.999000</t>
  </si>
  <si>
    <t>2025-02-27T06:15:13.416000</t>
  </si>
  <si>
    <t>2025-02-27T06:12:46.613000</t>
  </si>
  <si>
    <t>2025-02-27T06:12:45.476000</t>
  </si>
  <si>
    <t>2025-02-27T06:12:44.910000</t>
  </si>
  <si>
    <t>2025-02-27T06:12:44.507000</t>
  </si>
  <si>
    <t>2025-02-27T06:08:37.019000</t>
  </si>
  <si>
    <t>2025-02-27T06:08:41.362000</t>
  </si>
  <si>
    <t>2025-02-27T05:05:46.539000</t>
  </si>
  <si>
    <t>2025-02-27T05:05:45.462000</t>
  </si>
  <si>
    <t>2025-02-27T05:05:44.521000</t>
  </si>
  <si>
    <t>2025-02-27T05:05:41.897000</t>
  </si>
  <si>
    <t>2025-02-27T05:05:40.508000</t>
  </si>
  <si>
    <t>2025-02-27T05:05:39.218000</t>
  </si>
  <si>
    <t>2025-02-27T05:05:38.160000</t>
  </si>
  <si>
    <t>2025-02-27T05:05:23.380000</t>
  </si>
  <si>
    <t>2025-02-27T05:05:20.432000</t>
  </si>
  <si>
    <t>2025-02-27T05:05:15.318000</t>
  </si>
  <si>
    <t>2025-02-27T05:05:13.690000</t>
  </si>
  <si>
    <t>2025-02-27T05:05:14.512000</t>
  </si>
  <si>
    <t>2025-02-25T09:18:44.213000</t>
  </si>
  <si>
    <t>2025-02-25T09:18:43.690000</t>
  </si>
  <si>
    <t>2025-02-25T09:18:42.773000</t>
  </si>
  <si>
    <t>2025-02-25T09:18:42.067000</t>
  </si>
  <si>
    <t>2025-02-25T09:18:42.485000</t>
  </si>
  <si>
    <t>2025-02-25T09:18:39.131000</t>
  </si>
  <si>
    <t>2025-02-25T09:18:40.699000</t>
  </si>
  <si>
    <t>2025-02-25T09:15:12.457000</t>
  </si>
  <si>
    <t>2025-02-25T09:15:13.142000</t>
  </si>
  <si>
    <t>2025-02-25T09:15:12.817000</t>
  </si>
  <si>
    <t>2025-02-25T09:15:13.018000</t>
  </si>
  <si>
    <t>2025-02-25T09:15:12.612000</t>
  </si>
  <si>
    <t>2025-02-25T09:15:12.803000</t>
  </si>
  <si>
    <t>2025-02-25T08:45:55.517000</t>
  </si>
  <si>
    <t>2025-02-25T08:45:59.623000</t>
  </si>
  <si>
    <t>2025-02-25T08:45:39.714000</t>
  </si>
  <si>
    <t>2025-02-25T08:45:40.873000</t>
  </si>
  <si>
    <t>2025-02-25T08:45:45.345000</t>
  </si>
  <si>
    <t>2025-02-25T08:45:44.443000</t>
  </si>
  <si>
    <t>2025-02-25T08:40:02.133000</t>
  </si>
  <si>
    <t>2025-02-25T08:39:52.752000</t>
  </si>
  <si>
    <t>2025-02-25T08:39:54.448000</t>
  </si>
  <si>
    <t>2025-02-25T08:39:51.973000</t>
  </si>
  <si>
    <t>2025-02-25T08:39:44.751000</t>
  </si>
  <si>
    <t>2025-02-25T08:39:40.066000</t>
  </si>
  <si>
    <t>2025-02-25T08:39:41.501000</t>
  </si>
  <si>
    <t>2025-02-25T08:39:40.733000</t>
  </si>
  <si>
    <t>2025-02-25T08:39:26.903000</t>
  </si>
  <si>
    <t>2025-02-25T08:39:26.562000</t>
  </si>
  <si>
    <t>2025-02-25T08:39:23.390000</t>
  </si>
  <si>
    <t>2025-02-25T08:39:17.251000</t>
  </si>
  <si>
    <t>2025-02-25T08:39:15.790000</t>
  </si>
  <si>
    <t>2025-02-25T08:39:16.311000</t>
  </si>
  <si>
    <t>2025-02-25T08:27:49.825000</t>
  </si>
  <si>
    <t>2025-02-25T08:27:52.134000</t>
  </si>
  <si>
    <t>2025-02-25T08:27:49.098000</t>
  </si>
  <si>
    <t>2025-02-25T08:27:03.377000</t>
  </si>
  <si>
    <t>2025-02-25T08:25:35.661000</t>
  </si>
  <si>
    <t>2025-02-25T08:25:30.617000</t>
  </si>
  <si>
    <t>2025-02-25T08:25:30.098000</t>
  </si>
  <si>
    <t>2025-02-25T08:25:28.049000</t>
  </si>
  <si>
    <t>2025-02-25T08:25:25.538000</t>
  </si>
  <si>
    <t>2025-02-25T08:25:24.621000</t>
  </si>
  <si>
    <t>2025-02-25T08:25:24.026000</t>
  </si>
  <si>
    <t>2025-02-25T08:25:22.793000</t>
  </si>
  <si>
    <t>2025-02-25T08:25:23.720000</t>
  </si>
  <si>
    <t>2025-02-25T08:04:32.463000</t>
  </si>
  <si>
    <t>2025-02-25T08:04:31.912000</t>
  </si>
  <si>
    <t>2025-02-25T08:04:31.035000</t>
  </si>
  <si>
    <t>2025-02-25T08:04:30.722000</t>
  </si>
  <si>
    <t>2025-02-25T08:04:30.100000</t>
  </si>
  <si>
    <t>2025-02-25T08:04:29.328000</t>
  </si>
  <si>
    <t>2025-02-25T08:04:28.707000</t>
  </si>
  <si>
    <t>2025-02-25T08:04:27.639000</t>
  </si>
  <si>
    <t>2025-02-25T08:04:26.985000</t>
  </si>
  <si>
    <t>2025-02-25T08:04:26.068000</t>
  </si>
  <si>
    <t>2025-02-25T08:04:25.379000</t>
  </si>
  <si>
    <t>2025-02-25T05:51:25.504000</t>
  </si>
  <si>
    <t>2025-02-25T05:51:24.098000</t>
  </si>
  <si>
    <t>2025-02-25T05:50:35.069000</t>
  </si>
  <si>
    <t>2025-02-25T05:50:34.298000</t>
  </si>
  <si>
    <t>2025-02-25T05:50:28.584000</t>
  </si>
  <si>
    <t>2025-02-25T05:50:27.176000</t>
  </si>
  <si>
    <t>2025-02-25T05:50:27.914000</t>
  </si>
  <si>
    <t>2025-02-25T05:46:23.079000</t>
  </si>
  <si>
    <t>2025-02-25T05:46:24.626000</t>
  </si>
  <si>
    <t>2025-02-25T05:46:22.600000</t>
  </si>
  <si>
    <t>2025-02-25T05:46:22.277000</t>
  </si>
  <si>
    <t>2025-02-25T05:45:24.400000</t>
  </si>
  <si>
    <t>2025-02-25T05:45:23.096000</t>
  </si>
  <si>
    <t>2025-02-25T05:18:35.403000</t>
  </si>
  <si>
    <t>2025-02-25T05:18:39.951000</t>
  </si>
  <si>
    <t>2025-02-25T05:18:34.280000</t>
  </si>
  <si>
    <t>2025-02-25T05:18:33.413000</t>
  </si>
  <si>
    <t>2025-02-25T05:18:32.097000</t>
  </si>
  <si>
    <t>2025-02-25T05:18:30.357000</t>
  </si>
  <si>
    <t>2025-02-25T04:37:15.741000</t>
  </si>
  <si>
    <t>2025-02-25T04:37:14.706000</t>
  </si>
  <si>
    <t>2025-02-25T04:26:21.721000</t>
  </si>
  <si>
    <t>2025-02-25T04:26:22.119000</t>
  </si>
  <si>
    <t>2025-02-25T04:26:06.478000</t>
  </si>
  <si>
    <t>2025-02-25T04:26:16.406000</t>
  </si>
  <si>
    <t>2025-02-25T04:25:39.502000</t>
  </si>
  <si>
    <t>2025-02-25T04:25:38.897000</t>
  </si>
  <si>
    <t>2025-02-24T10:31:05.405000</t>
  </si>
  <si>
    <t>2025-02-24T10:31:04.428000</t>
  </si>
  <si>
    <t>2025-02-24T10:31:03.279000</t>
  </si>
  <si>
    <t>2025-02-24T10:31:02.767000</t>
  </si>
  <si>
    <t>2025-02-24T10:31:02.531000</t>
  </si>
  <si>
    <t>2025-02-24T10:31:01.326000</t>
  </si>
  <si>
    <t>2025-02-24T09:17:37.415000</t>
  </si>
  <si>
    <t>2025-02-24T09:17:34.783000</t>
  </si>
  <si>
    <t>2025-02-24T09:17:33.684000</t>
  </si>
  <si>
    <t>2025-02-24T09:17:32.630000</t>
  </si>
  <si>
    <t>2025-02-24T09:17:31.550000</t>
  </si>
  <si>
    <t>2025-02-24T09:17:32.026000</t>
  </si>
  <si>
    <t>2025-02-24T09:09:57.076000</t>
  </si>
  <si>
    <t>2025-02-24T09:09:56.298000</t>
  </si>
  <si>
    <t>2025-02-24T09:09:55.473000</t>
  </si>
  <si>
    <t>2025-02-24T09:09:54.662000</t>
  </si>
  <si>
    <t>2025-02-24T08:43:48.411000</t>
  </si>
  <si>
    <t>2025-02-24T08:43:47.393000</t>
  </si>
  <si>
    <t>2025-02-24T08:43:46.036000</t>
  </si>
  <si>
    <t>2025-02-24T08:43:13.076000</t>
  </si>
  <si>
    <t>2025-02-24T08:43:12.755000</t>
  </si>
  <si>
    <t>2025-02-24T08:43:12.129000</t>
  </si>
  <si>
    <t>2025-02-24T08:43:00.571000</t>
  </si>
  <si>
    <t>2025-02-24T08:42:59.917000</t>
  </si>
  <si>
    <t>2025-02-24T08:42:58.763000</t>
  </si>
  <si>
    <t>2025-02-24T08:39:08.672000</t>
  </si>
  <si>
    <t>2025-02-24T08:39:08.309000</t>
  </si>
  <si>
    <t>2025-02-24T07:09:52.567000</t>
  </si>
  <si>
    <t>2025-02-24T06:40:34.684000</t>
  </si>
  <si>
    <t>2025-02-24T06:40:32.760000</t>
  </si>
  <si>
    <t>2025-02-24T06:40:27.958000</t>
  </si>
  <si>
    <t>2025-02-24T06:40:26.822000</t>
  </si>
  <si>
    <t>2025-02-24T06:40:26.600000</t>
  </si>
  <si>
    <t>2025-02-24T06:40:26.320000</t>
  </si>
  <si>
    <t>2025-02-24T06:40:25.887000</t>
  </si>
  <si>
    <t>2025-02-24T06:39:20.470000</t>
  </si>
  <si>
    <t>2025-02-24T06:39:21.697000</t>
  </si>
  <si>
    <t>2025-02-24T06:39:17.195000</t>
  </si>
  <si>
    <t>2025-02-24T06:39:20.304000</t>
  </si>
  <si>
    <t>2025-02-24T06:39:14.367000</t>
  </si>
  <si>
    <t>2025-02-24T06:39:16.723000</t>
  </si>
  <si>
    <t>2025-02-24T06:35:48.151000</t>
  </si>
  <si>
    <t>2025-02-24T06:35:47.925000</t>
  </si>
  <si>
    <t>2025-02-24T06:15:03.900000</t>
  </si>
  <si>
    <t>2025-02-24T06:15:03.632000</t>
  </si>
  <si>
    <t>2025-02-24T06:15:03.234000</t>
  </si>
  <si>
    <t>2025-02-24T06:15:03.045000</t>
  </si>
  <si>
    <t>2025-02-24T06:14:47.538000</t>
  </si>
  <si>
    <t>2025-02-24T06:14:47.205000</t>
  </si>
  <si>
    <t>2025-02-24T06:14:46.717000</t>
  </si>
  <si>
    <t>2025-02-24T06:14:46.134000</t>
  </si>
  <si>
    <t>2025-02-24T06:14:46.286000</t>
  </si>
  <si>
    <t>2025-02-24T06:12:24.025000</t>
  </si>
  <si>
    <t>2025-02-24T06:12:23.147000</t>
  </si>
  <si>
    <t>2025-02-24T06:12:22.211000</t>
  </si>
  <si>
    <t>2025-02-24T06:12:22.457000</t>
  </si>
  <si>
    <t>2025-02-24T06:11:04.169000</t>
  </si>
  <si>
    <t>2025-02-24T06:11:03.678000</t>
  </si>
  <si>
    <t>2025-02-24T06:11:03.363000</t>
  </si>
  <si>
    <t>2025-02-24T06:11:03.016000</t>
  </si>
  <si>
    <t>2025-02-24T06:10:09.671000</t>
  </si>
  <si>
    <t>2025-02-24T06:10:09.222000</t>
  </si>
  <si>
    <t>2025-02-24T06:10:08.811000</t>
  </si>
  <si>
    <t>2025-02-24T06:09:14.075000</t>
  </si>
  <si>
    <t>2025-02-24T06:09:13.354000</t>
  </si>
  <si>
    <t>2025-02-24T06:09:13.840000</t>
  </si>
  <si>
    <t>2025-02-24T06:00:53.430000</t>
  </si>
  <si>
    <t>2025-02-24T06:00:53.118000</t>
  </si>
  <si>
    <t>2025-02-24T06:00:52.762000</t>
  </si>
  <si>
    <t>2025-02-24T05:45:38.279000</t>
  </si>
  <si>
    <t>2025-02-24T05:45:35.470000</t>
  </si>
  <si>
    <t>2025-02-24T05:45:34.732000</t>
  </si>
  <si>
    <t>2025-02-24T05:45:35.171000</t>
  </si>
  <si>
    <t>2025-02-24T05:45:34.419000</t>
  </si>
  <si>
    <t>2025-02-24T05:45:34.248000</t>
  </si>
  <si>
    <t>2025-02-24T05:42:35.430000</t>
  </si>
  <si>
    <t>2025-02-24T05:42:34.876000</t>
  </si>
  <si>
    <t>2025-02-24T05:42:34.421000</t>
  </si>
  <si>
    <t>2025-02-24T05:42:33.993000</t>
  </si>
  <si>
    <t>2025-02-24T05:42:33.553000</t>
  </si>
  <si>
    <t>2025-02-24T05:42:33.230000</t>
  </si>
  <si>
    <t>2025-02-24T05:34:43.291000</t>
  </si>
  <si>
    <t>2025-02-24T05:34:42.886000</t>
  </si>
  <si>
    <t>2025-02-24T05:34:42.474000</t>
  </si>
  <si>
    <t>2025-02-24T05:34:42.096000</t>
  </si>
  <si>
    <t>2025-02-24T05:34:41.642000</t>
  </si>
  <si>
    <t>2025-02-21T07:28:00.227000</t>
  </si>
  <si>
    <t>2025-02-21T07:28:05.964000</t>
  </si>
  <si>
    <t>2025-02-21T07:27:59.673000</t>
  </si>
  <si>
    <t>2025-02-21T07:27:59.120000</t>
  </si>
  <si>
    <t>2025-02-21T07:27:28.443000</t>
  </si>
  <si>
    <t>2025-02-21T07:27:28.042000</t>
  </si>
  <si>
    <t>2025-02-21T07:27:27.604000</t>
  </si>
  <si>
    <t>2025-02-21T07:27:27.187000</t>
  </si>
  <si>
    <t>2025-02-21T07:06:45.520000</t>
  </si>
  <si>
    <t>2025-02-21T07:06:44.139000</t>
  </si>
  <si>
    <t>2025-02-21T07:06:43.564000</t>
  </si>
  <si>
    <t>2025-02-21T05:40:24.864000</t>
  </si>
  <si>
    <t>2025-02-21T05:40:24.428000</t>
  </si>
  <si>
    <t>2025-02-21T05:40:23.690000</t>
  </si>
  <si>
    <t>2025-02-20T06:36:03.703000</t>
  </si>
  <si>
    <t>2025-02-20T06:36:04.703000</t>
  </si>
  <si>
    <t>2025-02-20T06:36:01.302000</t>
  </si>
  <si>
    <t>2025-02-20T06:36:02.268000</t>
  </si>
  <si>
    <t>2025-02-20T06:36:01.903000</t>
  </si>
  <si>
    <t>2025-02-20T06:36:03.543000</t>
  </si>
  <si>
    <t>2024-09-12T06:07:15.023000</t>
  </si>
  <si>
    <t>2024-09-10T07:06:46.988000</t>
  </si>
  <si>
    <t>2024-09-09T06:46:58.708000</t>
  </si>
  <si>
    <t>2024-09-05T08:41:26.682000</t>
  </si>
  <si>
    <t>GBPJPYm</t>
  </si>
  <si>
    <t>2024-09-05T08:14:08.070000</t>
  </si>
  <si>
    <t>2024-09-05T06:36:06.072000</t>
  </si>
  <si>
    <t>2024-09-03T12:13:41.355000</t>
  </si>
  <si>
    <t>2024-09-02T12:38:46.183000</t>
  </si>
  <si>
    <t>2024-08-30T11:06:37.059000</t>
  </si>
  <si>
    <t>2024-08-30T10:53:16.909000</t>
  </si>
  <si>
    <t>2024-08-30T10:35:02.215000</t>
  </si>
  <si>
    <t>2024-08-30T05:10:54.491000</t>
  </si>
  <si>
    <t>2024-08-29T12:43:16.170000</t>
  </si>
  <si>
    <t>2024-08-29T12:36:30.248000</t>
  </si>
  <si>
    <t>2024-08-29T12:30:02.393000</t>
  </si>
  <si>
    <t>2024-08-28T13:50:06.875000</t>
  </si>
  <si>
    <t>2024-08-28T08:04:04.769000</t>
  </si>
  <si>
    <t>2024-08-28T07:19:17.770000</t>
  </si>
  <si>
    <t>2024-08-26T06:30:04.057000</t>
  </si>
  <si>
    <t>2024-08-26T06:08:54.030000</t>
  </si>
  <si>
    <t>2024-08-21T08:07:06.228000</t>
  </si>
  <si>
    <t>2024-08-20T15:06:31.181000</t>
  </si>
  <si>
    <t>2024-08-19T12:31:40.596000</t>
  </si>
  <si>
    <t>2024-08-19T04:48:03.242000</t>
  </si>
  <si>
    <t>2024-08-14T12:36:31.118000</t>
  </si>
  <si>
    <t>2024-08-05T09:42:01.712000</t>
  </si>
  <si>
    <t>2024-08-05T09:24:54.374000</t>
  </si>
  <si>
    <t>2024-08-05T09:00:26.091000</t>
  </si>
  <si>
    <t>2024-08-05T08:49:13.286000</t>
  </si>
  <si>
    <t>2024-08-02T06:47:21.216000</t>
  </si>
  <si>
    <t>2024-08-02T06:37:03.103000</t>
  </si>
  <si>
    <t>2024-08-02T06:33:41.374000</t>
  </si>
  <si>
    <t>2024-08-02T05:12:19.767000</t>
  </si>
  <si>
    <t>2024-08-01T12:51:32.643000</t>
  </si>
  <si>
    <t>2024-08-01T12:32:13.040000</t>
  </si>
  <si>
    <t>2024-08-01T12:23:02.731000</t>
  </si>
  <si>
    <t>2024-08-01T08:40:54.249000</t>
  </si>
  <si>
    <t>2024-07-30T05:43:23.305000</t>
  </si>
  <si>
    <t>2024-07-30T04:37:27.345000</t>
  </si>
  <si>
    <t>2024-07-29T06:52:19.360000</t>
  </si>
  <si>
    <t>2024-07-29T05:53:35.654000</t>
  </si>
  <si>
    <t>2024-07-26T07:52:36.527000</t>
  </si>
  <si>
    <t>2024-07-26T06:44:24.922000</t>
  </si>
  <si>
    <t>2024-07-10T08:42:17.795000</t>
  </si>
  <si>
    <t>2024-07-10T05:51:55.168000</t>
  </si>
  <si>
    <t>2024-07-09T07:50:55.802000</t>
  </si>
  <si>
    <t>Opening_time_utc</t>
  </si>
  <si>
    <t>27.02.2025</t>
  </si>
  <si>
    <t>Total loss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</si>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</sst>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3" applyNumberFormat="0" applyFill="0" applyAlignment="0" applyProtection="0"/>
  </cellStyleXfs>
  <cellXfs count="13">
    <xf numFmtId="0" fontId="0" fillId="0" borderId="0" xfId="0"/>
    <xf numFmtId="0" fontId="1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D7A7-9F54-40D8-8EE5-52FB221EDCC2}">
  <dimension ref="A1:O1"/>
  <sheetViews>
    <sheetView zoomScaleNormal="100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0.140625" style="3" bestFit="1" customWidth="1"/>
    <col min="2" max="2" width="11.5703125" style="3" customWidth="1"/>
    <col min="3" max="3" width="11.42578125" style="3" customWidth="1"/>
    <col min="4" max="4" width="32.42578125" style="3" bestFit="1" customWidth="1"/>
    <col min="5" max="5" width="19.28515625" style="3" customWidth="1"/>
    <col min="6" max="6" width="11.5703125" style="3" customWidth="1"/>
    <col min="7" max="7" width="14.140625" style="3" customWidth="1"/>
    <col min="8" max="8" width="16.28515625" style="3" customWidth="1"/>
    <col min="9" max="9" width="26.7109375" style="3" bestFit="1" customWidth="1"/>
    <col min="10" max="10" width="26" style="3" bestFit="1" customWidth="1"/>
    <col min="11" max="11" width="27.7109375" style="3" bestFit="1" customWidth="1"/>
    <col min="12" max="12" width="27.7109375" style="4" customWidth="1"/>
    <col min="13" max="13" width="51.7109375" style="3" bestFit="1" customWidth="1"/>
    <col min="14" max="14" width="49.28515625" style="3" bestFit="1" customWidth="1"/>
    <col min="15" max="15" width="133.140625" style="3" customWidth="1"/>
    <col min="16" max="16384" width="9.140625" style="2"/>
  </cols>
  <sheetData>
    <row r="1" spans="1:15" ht="19.5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7</v>
      </c>
      <c r="L1" s="1" t="s">
        <v>12</v>
      </c>
      <c r="M1" s="1" t="s">
        <v>8</v>
      </c>
      <c r="N1" s="1" t="s">
        <v>10</v>
      </c>
      <c r="O1" s="1" t="s">
        <v>11</v>
      </c>
    </row>
  </sheetData>
  <autoFilter ref="A1:M1" xr:uid="{C17468E3-5F72-4629-BB19-9AE5344F93DD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320F-060C-435C-A673-05F7B05B173B}">
  <dimension ref="A1:N289"/>
  <sheetViews>
    <sheetView workbookViewId="0">
      <pane ySplit="1" topLeftCell="A2" activePane="bottomLeft" state="frozen"/>
      <selection pane="bottomLeft" activeCell="M15" sqref="M15"/>
    </sheetView>
  </sheetViews>
  <sheetFormatPr defaultRowHeight="15" x14ac:dyDescent="0.25"/>
  <cols>
    <col min="1" max="1" width="29.140625" style="3" bestFit="1" customWidth="1"/>
    <col min="2" max="2" width="11.42578125" style="3" bestFit="1" customWidth="1"/>
    <col min="3" max="3" width="10.28515625" style="3" bestFit="1" customWidth="1"/>
    <col min="4" max="4" width="32.85546875" style="3" bestFit="1" customWidth="1"/>
    <col min="5" max="5" width="14.7109375" style="3" bestFit="1" customWidth="1"/>
    <col min="6" max="6" width="23.7109375" style="3" bestFit="1" customWidth="1"/>
    <col min="7" max="7" width="17.140625" style="3" bestFit="1" customWidth="1"/>
    <col min="8" max="8" width="19.7109375" style="3" bestFit="1" customWidth="1"/>
    <col min="9" max="9" width="18.5703125" style="3" bestFit="1" customWidth="1"/>
    <col min="10" max="10" width="19.5703125" style="3" bestFit="1" customWidth="1"/>
    <col min="11" max="11" width="9.140625" style="2"/>
    <col min="12" max="12" width="9.28515625" style="2" bestFit="1" customWidth="1"/>
    <col min="13" max="13" width="10.85546875" style="2" bestFit="1" customWidth="1"/>
    <col min="14" max="16384" width="9.140625" style="2"/>
  </cols>
  <sheetData>
    <row r="1" spans="1:14" s="12" customFormat="1" ht="21" x14ac:dyDescent="0.25">
      <c r="A1" s="5" t="s">
        <v>328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spans="1:14" s="2" customFormat="1" x14ac:dyDescent="0.25">
      <c r="A2" s="3" t="s">
        <v>36</v>
      </c>
      <c r="B2" s="3" t="s">
        <v>37</v>
      </c>
      <c r="C2" s="3">
        <v>0.01</v>
      </c>
      <c r="D2" s="3">
        <v>0.01</v>
      </c>
      <c r="E2" s="3" t="s">
        <v>38</v>
      </c>
      <c r="F2" s="3">
        <v>2888.9969999999998</v>
      </c>
      <c r="G2" s="3"/>
      <c r="H2" s="3"/>
      <c r="I2" s="3">
        <v>1.49</v>
      </c>
      <c r="J2" s="3"/>
    </row>
    <row r="3" spans="1:14" s="2" customFormat="1" x14ac:dyDescent="0.25">
      <c r="A3" s="3" t="s">
        <v>39</v>
      </c>
      <c r="B3" s="3" t="s">
        <v>37</v>
      </c>
      <c r="C3" s="3">
        <v>0.01</v>
      </c>
      <c r="D3" s="3">
        <v>0.01</v>
      </c>
      <c r="E3" s="3" t="s">
        <v>38</v>
      </c>
      <c r="F3" s="3">
        <v>2888.192</v>
      </c>
      <c r="G3" s="3"/>
      <c r="H3" s="3"/>
      <c r="I3" s="3">
        <v>0.68</v>
      </c>
      <c r="J3" s="3"/>
    </row>
    <row r="4" spans="1:14" s="2" customFormat="1" x14ac:dyDescent="0.25">
      <c r="A4" s="3" t="s">
        <v>40</v>
      </c>
      <c r="B4" s="3" t="s">
        <v>37</v>
      </c>
      <c r="C4" s="3">
        <v>0.01</v>
      </c>
      <c r="D4" s="3">
        <v>0.01</v>
      </c>
      <c r="E4" s="3" t="s">
        <v>38</v>
      </c>
      <c r="F4" s="3">
        <v>2888.5810000000001</v>
      </c>
      <c r="G4" s="3"/>
      <c r="H4" s="3"/>
      <c r="I4" s="3">
        <v>1.07</v>
      </c>
      <c r="J4" s="3"/>
      <c r="L4" s="3" t="s">
        <v>330</v>
      </c>
      <c r="M4" s="3" t="s">
        <v>331</v>
      </c>
      <c r="N4" s="3"/>
    </row>
    <row r="5" spans="1:14" s="2" customFormat="1" x14ac:dyDescent="0.25">
      <c r="A5" s="3" t="s">
        <v>41</v>
      </c>
      <c r="B5" s="3" t="s">
        <v>37</v>
      </c>
      <c r="C5" s="3">
        <v>0.01</v>
      </c>
      <c r="D5" s="3">
        <v>0.01</v>
      </c>
      <c r="E5" s="3" t="s">
        <v>38</v>
      </c>
      <c r="F5" s="3">
        <v>2888.723</v>
      </c>
      <c r="G5" s="3"/>
      <c r="H5" s="3"/>
      <c r="I5" s="3">
        <v>1.21</v>
      </c>
      <c r="J5" s="3"/>
      <c r="L5" s="10"/>
      <c r="M5" s="10"/>
      <c r="N5" s="3"/>
    </row>
    <row r="6" spans="1:14" s="2" customFormat="1" x14ac:dyDescent="0.25">
      <c r="A6" s="3" t="s">
        <v>42</v>
      </c>
      <c r="B6" s="3" t="s">
        <v>37</v>
      </c>
      <c r="C6" s="3">
        <v>0.01</v>
      </c>
      <c r="D6" s="3">
        <v>0.01</v>
      </c>
      <c r="E6" s="3" t="s">
        <v>38</v>
      </c>
      <c r="F6" s="3">
        <v>2888.3760000000002</v>
      </c>
      <c r="G6" s="3"/>
      <c r="H6" s="3"/>
      <c r="I6" s="3">
        <v>0.87</v>
      </c>
      <c r="J6" s="3"/>
      <c r="L6" s="11"/>
      <c r="M6" s="11"/>
      <c r="N6" s="3"/>
    </row>
    <row r="7" spans="1:14" s="2" customFormat="1" x14ac:dyDescent="0.25">
      <c r="A7" s="3" t="s">
        <v>43</v>
      </c>
      <c r="B7" s="3" t="s">
        <v>37</v>
      </c>
      <c r="C7" s="3">
        <v>0.01</v>
      </c>
      <c r="D7" s="3">
        <v>0.01</v>
      </c>
      <c r="E7" s="3" t="s">
        <v>38</v>
      </c>
      <c r="F7" s="3">
        <v>2887.989</v>
      </c>
      <c r="G7" s="3"/>
      <c r="H7" s="3"/>
      <c r="I7" s="3">
        <v>0.48</v>
      </c>
      <c r="J7" s="3"/>
      <c r="L7" s="10"/>
      <c r="M7" s="10"/>
      <c r="N7" s="3"/>
    </row>
    <row r="8" spans="1:14" s="2" customFormat="1" x14ac:dyDescent="0.25">
      <c r="A8" s="3" t="s">
        <v>44</v>
      </c>
      <c r="B8" s="3" t="s">
        <v>37</v>
      </c>
      <c r="C8" s="3">
        <v>0.01</v>
      </c>
      <c r="D8" s="3">
        <v>0.01</v>
      </c>
      <c r="E8" s="3" t="s">
        <v>38</v>
      </c>
      <c r="F8" s="3">
        <v>2887.4209999999998</v>
      </c>
      <c r="G8" s="3"/>
      <c r="H8" s="3"/>
      <c r="I8" s="3">
        <v>-0.09</v>
      </c>
      <c r="J8" s="3"/>
      <c r="L8" s="11"/>
      <c r="M8" s="11"/>
      <c r="N8" s="3"/>
    </row>
    <row r="9" spans="1:14" s="2" customFormat="1" x14ac:dyDescent="0.25">
      <c r="A9" s="3" t="s">
        <v>45</v>
      </c>
      <c r="B9" s="3" t="s">
        <v>37</v>
      </c>
      <c r="C9" s="3">
        <v>0.01</v>
      </c>
      <c r="D9" s="3">
        <v>0.01</v>
      </c>
      <c r="E9" s="3" t="s">
        <v>38</v>
      </c>
      <c r="F9" s="3">
        <v>2887.8850000000002</v>
      </c>
      <c r="G9" s="3"/>
      <c r="H9" s="3"/>
      <c r="I9" s="3">
        <v>0.53</v>
      </c>
      <c r="J9" s="3"/>
      <c r="L9" s="3"/>
      <c r="M9" s="3"/>
      <c r="N9" s="3"/>
    </row>
    <row r="10" spans="1:14" s="2" customFormat="1" x14ac:dyDescent="0.25">
      <c r="A10" s="3" t="s">
        <v>46</v>
      </c>
      <c r="B10" s="3" t="s">
        <v>37</v>
      </c>
      <c r="C10" s="3">
        <v>0.01</v>
      </c>
      <c r="D10" s="3">
        <v>0.01</v>
      </c>
      <c r="E10" s="3" t="s">
        <v>38</v>
      </c>
      <c r="F10" s="3">
        <v>2887.84</v>
      </c>
      <c r="G10" s="3"/>
      <c r="H10" s="3"/>
      <c r="I10" s="3">
        <v>0.48</v>
      </c>
      <c r="J10" s="3"/>
    </row>
    <row r="11" spans="1:14" s="2" customFormat="1" x14ac:dyDescent="0.25">
      <c r="A11" s="3" t="s">
        <v>47</v>
      </c>
      <c r="B11" s="3" t="s">
        <v>37</v>
      </c>
      <c r="C11" s="3">
        <v>0.01</v>
      </c>
      <c r="D11" s="3">
        <v>0.01</v>
      </c>
      <c r="E11" s="3" t="s">
        <v>38</v>
      </c>
      <c r="F11" s="3">
        <v>2887.7370000000001</v>
      </c>
      <c r="G11" s="3"/>
      <c r="H11" s="3"/>
      <c r="I11" s="3">
        <v>0.38</v>
      </c>
      <c r="J11" s="3"/>
    </row>
    <row r="12" spans="1:14" s="2" customFormat="1" x14ac:dyDescent="0.25">
      <c r="A12" s="3" t="s">
        <v>48</v>
      </c>
      <c r="B12" s="3" t="s">
        <v>37</v>
      </c>
      <c r="C12" s="3">
        <v>0.01</v>
      </c>
      <c r="D12" s="3">
        <v>0.01</v>
      </c>
      <c r="E12" s="3" t="s">
        <v>38</v>
      </c>
      <c r="F12" s="3">
        <v>2887.7510000000002</v>
      </c>
      <c r="G12" s="3"/>
      <c r="H12" s="3"/>
      <c r="I12" s="3">
        <v>0.39</v>
      </c>
      <c r="J12" s="3"/>
    </row>
    <row r="13" spans="1:14" s="2" customFormat="1" x14ac:dyDescent="0.25">
      <c r="A13" s="3" t="s">
        <v>49</v>
      </c>
      <c r="B13" s="3" t="s">
        <v>50</v>
      </c>
      <c r="C13" s="3">
        <v>0.01</v>
      </c>
      <c r="D13" s="3">
        <v>0.01</v>
      </c>
      <c r="E13" s="3" t="s">
        <v>38</v>
      </c>
      <c r="F13" s="3">
        <v>2892.4949999999999</v>
      </c>
      <c r="G13" s="3"/>
      <c r="H13" s="3"/>
      <c r="I13" s="3">
        <v>0.47</v>
      </c>
      <c r="J13" s="3"/>
    </row>
    <row r="14" spans="1:14" s="2" customFormat="1" x14ac:dyDescent="0.25">
      <c r="A14" s="3" t="s">
        <v>51</v>
      </c>
      <c r="B14" s="3" t="s">
        <v>50</v>
      </c>
      <c r="C14" s="3">
        <v>0.01</v>
      </c>
      <c r="D14" s="3">
        <v>0.01</v>
      </c>
      <c r="E14" s="3" t="s">
        <v>38</v>
      </c>
      <c r="F14" s="3">
        <v>2892.3870000000002</v>
      </c>
      <c r="G14" s="3"/>
      <c r="H14" s="3"/>
      <c r="I14" s="3">
        <v>0.57999999999999996</v>
      </c>
      <c r="J14" s="3"/>
    </row>
    <row r="15" spans="1:14" s="2" customFormat="1" x14ac:dyDescent="0.25">
      <c r="A15" s="3" t="s">
        <v>52</v>
      </c>
      <c r="B15" s="3" t="s">
        <v>50</v>
      </c>
      <c r="C15" s="3">
        <v>0.01</v>
      </c>
      <c r="D15" s="3">
        <v>0.01</v>
      </c>
      <c r="E15" s="3" t="s">
        <v>38</v>
      </c>
      <c r="F15" s="3">
        <v>2892.7240000000002</v>
      </c>
      <c r="G15" s="3"/>
      <c r="H15" s="3"/>
      <c r="I15" s="3">
        <v>0.25</v>
      </c>
      <c r="J15" s="3"/>
    </row>
    <row r="16" spans="1:14" s="2" customFormat="1" x14ac:dyDescent="0.25">
      <c r="A16" s="3" t="s">
        <v>53</v>
      </c>
      <c r="B16" s="3" t="s">
        <v>50</v>
      </c>
      <c r="C16" s="3">
        <v>0.01</v>
      </c>
      <c r="D16" s="3">
        <v>0.01</v>
      </c>
      <c r="E16" s="3" t="s">
        <v>38</v>
      </c>
      <c r="F16" s="3">
        <v>2892.8710000000001</v>
      </c>
      <c r="G16" s="3"/>
      <c r="H16" s="3"/>
      <c r="I16" s="3">
        <v>0.1</v>
      </c>
      <c r="J16" s="3"/>
    </row>
    <row r="17" spans="1:10" s="2" customFormat="1" x14ac:dyDescent="0.25">
      <c r="A17" s="3" t="s">
        <v>54</v>
      </c>
      <c r="B17" s="3" t="s">
        <v>50</v>
      </c>
      <c r="C17" s="3">
        <v>0.01</v>
      </c>
      <c r="D17" s="3">
        <v>0.01</v>
      </c>
      <c r="E17" s="3" t="s">
        <v>38</v>
      </c>
      <c r="F17" s="3">
        <v>2892.9760000000001</v>
      </c>
      <c r="G17" s="3"/>
      <c r="H17" s="3"/>
      <c r="I17" s="3">
        <v>-0.01</v>
      </c>
      <c r="J17" s="3"/>
    </row>
    <row r="18" spans="1:10" s="2" customFormat="1" x14ac:dyDescent="0.25">
      <c r="A18" s="3" t="s">
        <v>55</v>
      </c>
      <c r="B18" s="3" t="s">
        <v>50</v>
      </c>
      <c r="C18" s="3">
        <v>0.01</v>
      </c>
      <c r="D18" s="3">
        <v>0.01</v>
      </c>
      <c r="E18" s="3" t="s">
        <v>38</v>
      </c>
      <c r="F18" s="3">
        <v>2892.9929999999999</v>
      </c>
      <c r="G18" s="3"/>
      <c r="H18" s="3"/>
      <c r="I18" s="3">
        <v>-0.02</v>
      </c>
      <c r="J18" s="3"/>
    </row>
    <row r="19" spans="1:10" s="2" customFormat="1" x14ac:dyDescent="0.25">
      <c r="A19" s="3" t="s">
        <v>56</v>
      </c>
      <c r="B19" s="3" t="s">
        <v>50</v>
      </c>
      <c r="C19" s="3">
        <v>0.01</v>
      </c>
      <c r="D19" s="3">
        <v>0.01</v>
      </c>
      <c r="E19" s="3" t="s">
        <v>38</v>
      </c>
      <c r="F19" s="3">
        <v>2892.9789999999998</v>
      </c>
      <c r="G19" s="3"/>
      <c r="H19" s="3"/>
      <c r="I19" s="3">
        <v>-0.01</v>
      </c>
      <c r="J19" s="3"/>
    </row>
    <row r="20" spans="1:10" s="2" customFormat="1" x14ac:dyDescent="0.25">
      <c r="A20" s="3" t="s">
        <v>57</v>
      </c>
      <c r="B20" s="3" t="s">
        <v>50</v>
      </c>
      <c r="C20" s="3">
        <v>0.01</v>
      </c>
      <c r="D20" s="3">
        <v>0.01</v>
      </c>
      <c r="E20" s="3" t="s">
        <v>38</v>
      </c>
      <c r="F20" s="3">
        <v>2893.1860000000001</v>
      </c>
      <c r="G20" s="3"/>
      <c r="H20" s="3"/>
      <c r="I20" s="3">
        <v>-0.22</v>
      </c>
      <c r="J20" s="3"/>
    </row>
    <row r="21" spans="1:10" s="2" customFormat="1" x14ac:dyDescent="0.25">
      <c r="A21" s="3" t="s">
        <v>58</v>
      </c>
      <c r="B21" s="3" t="s">
        <v>50</v>
      </c>
      <c r="C21" s="3">
        <v>0.01</v>
      </c>
      <c r="D21" s="3">
        <v>0.01</v>
      </c>
      <c r="E21" s="3" t="s">
        <v>38</v>
      </c>
      <c r="F21" s="3">
        <v>2893.2809999999999</v>
      </c>
      <c r="G21" s="3"/>
      <c r="H21" s="3"/>
      <c r="I21" s="3">
        <v>-0.31</v>
      </c>
      <c r="J21" s="3"/>
    </row>
    <row r="22" spans="1:10" s="2" customFormat="1" x14ac:dyDescent="0.25">
      <c r="A22" s="3" t="s">
        <v>59</v>
      </c>
      <c r="B22" s="3" t="s">
        <v>37</v>
      </c>
      <c r="C22" s="3">
        <v>0.01</v>
      </c>
      <c r="D22" s="3">
        <v>0.01</v>
      </c>
      <c r="E22" s="3" t="s">
        <v>38</v>
      </c>
      <c r="F22" s="3">
        <v>2893.4679999999998</v>
      </c>
      <c r="G22" s="3"/>
      <c r="H22" s="3"/>
      <c r="I22" s="3">
        <v>0.35</v>
      </c>
      <c r="J22" s="3"/>
    </row>
    <row r="23" spans="1:10" s="2" customFormat="1" x14ac:dyDescent="0.25">
      <c r="A23" s="3" t="s">
        <v>60</v>
      </c>
      <c r="B23" s="3" t="s">
        <v>37</v>
      </c>
      <c r="C23" s="3">
        <v>0.01</v>
      </c>
      <c r="D23" s="3">
        <v>0.01</v>
      </c>
      <c r="E23" s="3" t="s">
        <v>38</v>
      </c>
      <c r="F23" s="3">
        <v>2893.4679999999998</v>
      </c>
      <c r="G23" s="3"/>
      <c r="H23" s="3"/>
      <c r="I23" s="3">
        <v>0.35</v>
      </c>
      <c r="J23" s="3"/>
    </row>
    <row r="24" spans="1:10" s="2" customFormat="1" x14ac:dyDescent="0.25">
      <c r="A24" s="3" t="s">
        <v>61</v>
      </c>
      <c r="B24" s="3" t="s">
        <v>37</v>
      </c>
      <c r="C24" s="3">
        <v>0.01</v>
      </c>
      <c r="D24" s="3">
        <v>0.01</v>
      </c>
      <c r="E24" s="3" t="s">
        <v>38</v>
      </c>
      <c r="F24" s="3">
        <v>2893.078</v>
      </c>
      <c r="G24" s="3"/>
      <c r="H24" s="3"/>
      <c r="I24" s="3">
        <v>-0.04</v>
      </c>
      <c r="J24" s="3"/>
    </row>
    <row r="25" spans="1:10" s="2" customFormat="1" x14ac:dyDescent="0.25">
      <c r="A25" s="3" t="s">
        <v>62</v>
      </c>
      <c r="B25" s="3" t="s">
        <v>37</v>
      </c>
      <c r="C25" s="3">
        <v>0.01</v>
      </c>
      <c r="D25" s="3">
        <v>0.01</v>
      </c>
      <c r="E25" s="3" t="s">
        <v>38</v>
      </c>
      <c r="F25" s="3">
        <v>2893.172</v>
      </c>
      <c r="G25" s="3"/>
      <c r="H25" s="3"/>
      <c r="I25" s="3">
        <v>0.05</v>
      </c>
      <c r="J25" s="3"/>
    </row>
    <row r="26" spans="1:10" s="2" customFormat="1" x14ac:dyDescent="0.25">
      <c r="A26" s="3" t="s">
        <v>63</v>
      </c>
      <c r="B26" s="3" t="s">
        <v>37</v>
      </c>
      <c r="C26" s="3">
        <v>0.01</v>
      </c>
      <c r="D26" s="3">
        <v>0.01</v>
      </c>
      <c r="E26" s="3" t="s">
        <v>38</v>
      </c>
      <c r="F26" s="3">
        <v>2892.558</v>
      </c>
      <c r="G26" s="3"/>
      <c r="H26" s="3"/>
      <c r="I26" s="3">
        <v>-0.56000000000000005</v>
      </c>
      <c r="J26" s="3"/>
    </row>
    <row r="27" spans="1:10" s="2" customFormat="1" x14ac:dyDescent="0.25">
      <c r="A27" s="3" t="s">
        <v>64</v>
      </c>
      <c r="B27" s="3" t="s">
        <v>37</v>
      </c>
      <c r="C27" s="3">
        <v>0.01</v>
      </c>
      <c r="D27" s="3">
        <v>0.01</v>
      </c>
      <c r="E27" s="3" t="s">
        <v>38</v>
      </c>
      <c r="F27" s="3">
        <v>2892.913</v>
      </c>
      <c r="G27" s="3"/>
      <c r="H27" s="3"/>
      <c r="I27" s="3">
        <v>-0.21</v>
      </c>
      <c r="J27" s="3"/>
    </row>
    <row r="28" spans="1:10" s="2" customFormat="1" x14ac:dyDescent="0.25">
      <c r="A28" s="3" t="s">
        <v>65</v>
      </c>
      <c r="B28" s="3" t="s">
        <v>37</v>
      </c>
      <c r="C28" s="3">
        <v>0.01</v>
      </c>
      <c r="D28" s="3">
        <v>0.01</v>
      </c>
      <c r="E28" s="3" t="s">
        <v>38</v>
      </c>
      <c r="F28" s="3">
        <v>2892.6019999999999</v>
      </c>
      <c r="G28" s="3"/>
      <c r="H28" s="3"/>
      <c r="I28" s="3">
        <v>-0.52</v>
      </c>
      <c r="J28" s="3"/>
    </row>
    <row r="29" spans="1:10" s="2" customFormat="1" x14ac:dyDescent="0.25">
      <c r="A29" s="3" t="s">
        <v>66</v>
      </c>
      <c r="B29" s="3" t="s">
        <v>37</v>
      </c>
      <c r="C29" s="3">
        <v>0.01</v>
      </c>
      <c r="D29" s="3">
        <v>0.01</v>
      </c>
      <c r="E29" s="3" t="s">
        <v>38</v>
      </c>
      <c r="F29" s="3">
        <v>2892.7919999999999</v>
      </c>
      <c r="G29" s="3"/>
      <c r="H29" s="3"/>
      <c r="I29" s="3">
        <v>-0.33</v>
      </c>
      <c r="J29" s="3"/>
    </row>
    <row r="30" spans="1:10" s="2" customFormat="1" x14ac:dyDescent="0.25">
      <c r="A30" s="3" t="s">
        <v>67</v>
      </c>
      <c r="B30" s="3" t="s">
        <v>50</v>
      </c>
      <c r="C30" s="3">
        <v>0.01</v>
      </c>
      <c r="D30" s="3">
        <v>0.01</v>
      </c>
      <c r="E30" s="3" t="s">
        <v>38</v>
      </c>
      <c r="F30" s="3">
        <v>2897.4839999999999</v>
      </c>
      <c r="G30" s="3"/>
      <c r="H30" s="3"/>
      <c r="I30" s="3">
        <v>0.28999999999999998</v>
      </c>
      <c r="J30" s="3"/>
    </row>
    <row r="31" spans="1:10" s="2" customFormat="1" x14ac:dyDescent="0.25">
      <c r="A31" s="3" t="s">
        <v>68</v>
      </c>
      <c r="B31" s="3" t="s">
        <v>50</v>
      </c>
      <c r="C31" s="3">
        <v>0.01</v>
      </c>
      <c r="D31" s="3">
        <v>0.01</v>
      </c>
      <c r="E31" s="3" t="s">
        <v>38</v>
      </c>
      <c r="F31" s="3">
        <v>2897.2130000000002</v>
      </c>
      <c r="G31" s="3"/>
      <c r="H31" s="3"/>
      <c r="I31" s="3">
        <v>0.56000000000000005</v>
      </c>
      <c r="J31" s="3"/>
    </row>
    <row r="32" spans="1:10" s="2" customFormat="1" x14ac:dyDescent="0.25">
      <c r="A32" s="3" t="s">
        <v>69</v>
      </c>
      <c r="B32" s="3" t="s">
        <v>50</v>
      </c>
      <c r="C32" s="3">
        <v>0.01</v>
      </c>
      <c r="D32" s="3">
        <v>0.01</v>
      </c>
      <c r="E32" s="3" t="s">
        <v>38</v>
      </c>
      <c r="F32" s="3">
        <v>2897.5059999999999</v>
      </c>
      <c r="G32" s="3"/>
      <c r="H32" s="3"/>
      <c r="I32" s="3">
        <v>0.26</v>
      </c>
      <c r="J32" s="3"/>
    </row>
    <row r="33" spans="1:10" s="2" customFormat="1" x14ac:dyDescent="0.25">
      <c r="A33" s="3" t="s">
        <v>70</v>
      </c>
      <c r="B33" s="3" t="s">
        <v>50</v>
      </c>
      <c r="C33" s="3">
        <v>0.01</v>
      </c>
      <c r="D33" s="3">
        <v>0.01</v>
      </c>
      <c r="E33" s="3" t="s">
        <v>38</v>
      </c>
      <c r="F33" s="3">
        <v>2897.6010000000001</v>
      </c>
      <c r="G33" s="3"/>
      <c r="H33" s="3"/>
      <c r="I33" s="3">
        <v>0.17</v>
      </c>
      <c r="J33" s="3"/>
    </row>
    <row r="34" spans="1:10" s="2" customFormat="1" x14ac:dyDescent="0.25">
      <c r="A34" s="3" t="s">
        <v>71</v>
      </c>
      <c r="B34" s="3" t="s">
        <v>37</v>
      </c>
      <c r="C34" s="3">
        <v>0.01</v>
      </c>
      <c r="D34" s="3">
        <v>0.01</v>
      </c>
      <c r="E34" s="3" t="s">
        <v>38</v>
      </c>
      <c r="F34" s="3">
        <v>2894.6930000000002</v>
      </c>
      <c r="G34" s="3"/>
      <c r="H34" s="3"/>
      <c r="I34" s="3">
        <v>1.22</v>
      </c>
      <c r="J34" s="3"/>
    </row>
    <row r="35" spans="1:10" s="2" customFormat="1" x14ac:dyDescent="0.25">
      <c r="A35" s="3" t="s">
        <v>72</v>
      </c>
      <c r="B35" s="3" t="s">
        <v>37</v>
      </c>
      <c r="C35" s="3">
        <v>0.01</v>
      </c>
      <c r="D35" s="3">
        <v>0.01</v>
      </c>
      <c r="E35" s="3" t="s">
        <v>38</v>
      </c>
      <c r="F35" s="3">
        <v>2894.3879999999999</v>
      </c>
      <c r="G35" s="3"/>
      <c r="H35" s="3"/>
      <c r="I35" s="3">
        <v>0.92</v>
      </c>
      <c r="J35" s="3"/>
    </row>
    <row r="36" spans="1:10" s="2" customFormat="1" x14ac:dyDescent="0.25">
      <c r="A36" s="3" t="s">
        <v>73</v>
      </c>
      <c r="B36" s="3" t="s">
        <v>37</v>
      </c>
      <c r="C36" s="3">
        <v>0.01</v>
      </c>
      <c r="D36" s="3">
        <v>0.01</v>
      </c>
      <c r="E36" s="3" t="s">
        <v>38</v>
      </c>
      <c r="F36" s="3">
        <v>2895.0459999999998</v>
      </c>
      <c r="G36" s="3"/>
      <c r="H36" s="3"/>
      <c r="I36" s="3">
        <v>-7.0000000000000007E-2</v>
      </c>
      <c r="J36" s="3"/>
    </row>
    <row r="37" spans="1:10" s="2" customFormat="1" x14ac:dyDescent="0.25">
      <c r="A37" s="3" t="s">
        <v>74</v>
      </c>
      <c r="B37" s="3" t="s">
        <v>37</v>
      </c>
      <c r="C37" s="3">
        <v>0.01</v>
      </c>
      <c r="D37" s="3">
        <v>0.01</v>
      </c>
      <c r="E37" s="3" t="s">
        <v>38</v>
      </c>
      <c r="F37" s="3">
        <v>2895.154</v>
      </c>
      <c r="G37" s="3"/>
      <c r="H37" s="3"/>
      <c r="I37" s="3">
        <v>0.03</v>
      </c>
      <c r="J37" s="3"/>
    </row>
    <row r="38" spans="1:10" s="2" customFormat="1" x14ac:dyDescent="0.25">
      <c r="A38" s="3" t="s">
        <v>75</v>
      </c>
      <c r="B38" s="3" t="s">
        <v>37</v>
      </c>
      <c r="C38" s="3">
        <v>0.01</v>
      </c>
      <c r="D38" s="3">
        <v>0.01</v>
      </c>
      <c r="E38" s="3" t="s">
        <v>38</v>
      </c>
      <c r="F38" s="3">
        <v>2894.96</v>
      </c>
      <c r="G38" s="3"/>
      <c r="H38" s="3"/>
      <c r="I38" s="3">
        <v>-0.16</v>
      </c>
      <c r="J38" s="3"/>
    </row>
    <row r="39" spans="1:10" s="2" customFormat="1" x14ac:dyDescent="0.25">
      <c r="A39" s="3" t="s">
        <v>76</v>
      </c>
      <c r="B39" s="3" t="s">
        <v>37</v>
      </c>
      <c r="C39" s="3">
        <v>0.01</v>
      </c>
      <c r="D39" s="3">
        <v>0.01</v>
      </c>
      <c r="E39" s="3" t="s">
        <v>38</v>
      </c>
      <c r="F39" s="3">
        <v>2894.931</v>
      </c>
      <c r="G39" s="3"/>
      <c r="H39" s="3"/>
      <c r="I39" s="3">
        <v>-0.19</v>
      </c>
      <c r="J39" s="3"/>
    </row>
    <row r="40" spans="1:10" s="2" customFormat="1" x14ac:dyDescent="0.25">
      <c r="A40" s="3" t="s">
        <v>77</v>
      </c>
      <c r="B40" s="3" t="s">
        <v>37</v>
      </c>
      <c r="C40" s="3">
        <v>0.01</v>
      </c>
      <c r="D40" s="3">
        <v>0.01</v>
      </c>
      <c r="E40" s="3" t="s">
        <v>38</v>
      </c>
      <c r="F40" s="3">
        <v>2896.0010000000002</v>
      </c>
      <c r="G40" s="3"/>
      <c r="H40" s="3"/>
      <c r="I40" s="3">
        <v>0.8</v>
      </c>
      <c r="J40" s="3"/>
    </row>
    <row r="41" spans="1:10" s="2" customFormat="1" x14ac:dyDescent="0.25">
      <c r="A41" s="3" t="s">
        <v>78</v>
      </c>
      <c r="B41" s="3" t="s">
        <v>37</v>
      </c>
      <c r="C41" s="3">
        <v>0.01</v>
      </c>
      <c r="D41" s="3">
        <v>0.01</v>
      </c>
      <c r="E41" s="3" t="s">
        <v>38</v>
      </c>
      <c r="F41" s="3">
        <v>2895.7759999999998</v>
      </c>
      <c r="G41" s="3"/>
      <c r="H41" s="3"/>
      <c r="I41" s="3">
        <v>0.57999999999999996</v>
      </c>
      <c r="J41" s="3"/>
    </row>
    <row r="42" spans="1:10" s="2" customFormat="1" x14ac:dyDescent="0.25">
      <c r="A42" s="3" t="s">
        <v>79</v>
      </c>
      <c r="B42" s="3" t="s">
        <v>37</v>
      </c>
      <c r="C42" s="3">
        <v>0.01</v>
      </c>
      <c r="D42" s="3">
        <v>0.01</v>
      </c>
      <c r="E42" s="3" t="s">
        <v>38</v>
      </c>
      <c r="F42" s="3">
        <v>2896.2919999999999</v>
      </c>
      <c r="G42" s="3"/>
      <c r="H42" s="3"/>
      <c r="I42" s="3">
        <v>0.28000000000000003</v>
      </c>
      <c r="J42" s="3"/>
    </row>
    <row r="43" spans="1:10" s="2" customFormat="1" x14ac:dyDescent="0.25">
      <c r="A43" s="3" t="s">
        <v>80</v>
      </c>
      <c r="B43" s="3" t="s">
        <v>37</v>
      </c>
      <c r="C43" s="3">
        <v>0.01</v>
      </c>
      <c r="D43" s="3">
        <v>0.01</v>
      </c>
      <c r="E43" s="3" t="s">
        <v>38</v>
      </c>
      <c r="F43" s="3">
        <v>2896.279</v>
      </c>
      <c r="G43" s="3"/>
      <c r="H43" s="3"/>
      <c r="I43" s="3">
        <v>0.27</v>
      </c>
      <c r="J43" s="3"/>
    </row>
    <row r="44" spans="1:10" s="2" customFormat="1" x14ac:dyDescent="0.25">
      <c r="A44" s="3" t="s">
        <v>81</v>
      </c>
      <c r="B44" s="3" t="s">
        <v>37</v>
      </c>
      <c r="C44" s="3">
        <v>0.01</v>
      </c>
      <c r="D44" s="3">
        <v>0.01</v>
      </c>
      <c r="E44" s="3" t="s">
        <v>38</v>
      </c>
      <c r="F44" s="3">
        <v>2896.2040000000002</v>
      </c>
      <c r="G44" s="3"/>
      <c r="H44" s="3"/>
      <c r="I44" s="3">
        <v>0.19</v>
      </c>
      <c r="J44" s="3"/>
    </row>
    <row r="45" spans="1:10" s="2" customFormat="1" x14ac:dyDescent="0.25">
      <c r="A45" s="3" t="s">
        <v>82</v>
      </c>
      <c r="B45" s="3" t="s">
        <v>37</v>
      </c>
      <c r="C45" s="3">
        <v>0.01</v>
      </c>
      <c r="D45" s="3">
        <v>0.01</v>
      </c>
      <c r="E45" s="3" t="s">
        <v>38</v>
      </c>
      <c r="F45" s="3">
        <v>2896.0929999999998</v>
      </c>
      <c r="G45" s="3"/>
      <c r="H45" s="3"/>
      <c r="I45" s="3">
        <v>0.08</v>
      </c>
      <c r="J45" s="3"/>
    </row>
    <row r="46" spans="1:10" s="2" customFormat="1" x14ac:dyDescent="0.25">
      <c r="A46" s="3" t="s">
        <v>83</v>
      </c>
      <c r="B46" s="3" t="s">
        <v>37</v>
      </c>
      <c r="C46" s="3">
        <v>0.01</v>
      </c>
      <c r="D46" s="3">
        <v>0.01</v>
      </c>
      <c r="E46" s="3" t="s">
        <v>38</v>
      </c>
      <c r="F46" s="3">
        <v>2896.1860000000001</v>
      </c>
      <c r="G46" s="3"/>
      <c r="H46" s="3"/>
      <c r="I46" s="3">
        <v>0.18</v>
      </c>
      <c r="J46" s="3"/>
    </row>
    <row r="47" spans="1:10" s="2" customFormat="1" x14ac:dyDescent="0.25">
      <c r="A47" s="3" t="s">
        <v>84</v>
      </c>
      <c r="B47" s="3" t="s">
        <v>37</v>
      </c>
      <c r="C47" s="3">
        <v>0.01</v>
      </c>
      <c r="D47" s="3">
        <v>0.01</v>
      </c>
      <c r="E47" s="3" t="s">
        <v>38</v>
      </c>
      <c r="F47" s="3">
        <v>2896.1350000000002</v>
      </c>
      <c r="G47" s="3"/>
      <c r="H47" s="3"/>
      <c r="I47" s="3">
        <v>0.14000000000000001</v>
      </c>
      <c r="J47" s="3"/>
    </row>
    <row r="48" spans="1:10" s="2" customFormat="1" x14ac:dyDescent="0.25">
      <c r="A48" s="3" t="s">
        <v>85</v>
      </c>
      <c r="B48" s="3" t="s">
        <v>37</v>
      </c>
      <c r="C48" s="3">
        <v>0.01</v>
      </c>
      <c r="D48" s="3">
        <v>0.01</v>
      </c>
      <c r="E48" s="3" t="s">
        <v>38</v>
      </c>
      <c r="F48" s="3">
        <v>2896.1309999999999</v>
      </c>
      <c r="G48" s="3"/>
      <c r="H48" s="3"/>
      <c r="I48" s="3">
        <v>0.13</v>
      </c>
      <c r="J48" s="3"/>
    </row>
    <row r="49" spans="1:10" s="2" customFormat="1" x14ac:dyDescent="0.25">
      <c r="A49" s="3" t="s">
        <v>86</v>
      </c>
      <c r="B49" s="3" t="s">
        <v>37</v>
      </c>
      <c r="C49" s="3">
        <v>0.01</v>
      </c>
      <c r="D49" s="3">
        <v>0.01</v>
      </c>
      <c r="E49" s="3" t="s">
        <v>38</v>
      </c>
      <c r="F49" s="3">
        <v>2895.7260000000001</v>
      </c>
      <c r="G49" s="3"/>
      <c r="H49" s="3"/>
      <c r="I49" s="3">
        <v>-0.66</v>
      </c>
      <c r="J49" s="3"/>
    </row>
    <row r="50" spans="1:10" s="2" customFormat="1" x14ac:dyDescent="0.25">
      <c r="A50" s="3" t="s">
        <v>87</v>
      </c>
      <c r="B50" s="3" t="s">
        <v>37</v>
      </c>
      <c r="C50" s="3">
        <v>0.01</v>
      </c>
      <c r="D50" s="3">
        <v>0.01</v>
      </c>
      <c r="E50" s="3" t="s">
        <v>38</v>
      </c>
      <c r="F50" s="3">
        <v>2895.953</v>
      </c>
      <c r="G50" s="3"/>
      <c r="H50" s="3"/>
      <c r="I50" s="3">
        <v>0.11</v>
      </c>
      <c r="J50" s="3"/>
    </row>
    <row r="51" spans="1:10" s="2" customFormat="1" x14ac:dyDescent="0.25">
      <c r="A51" s="3" t="s">
        <v>88</v>
      </c>
      <c r="B51" s="3" t="s">
        <v>37</v>
      </c>
      <c r="C51" s="3">
        <v>0.01</v>
      </c>
      <c r="D51" s="3">
        <v>0.01</v>
      </c>
      <c r="E51" s="3" t="s">
        <v>38</v>
      </c>
      <c r="F51" s="3">
        <v>2895.634</v>
      </c>
      <c r="G51" s="3"/>
      <c r="H51" s="3"/>
      <c r="I51" s="3">
        <v>-0.21</v>
      </c>
      <c r="J51" s="3"/>
    </row>
    <row r="52" spans="1:10" s="2" customFormat="1" x14ac:dyDescent="0.25">
      <c r="A52" s="3" t="s">
        <v>89</v>
      </c>
      <c r="B52" s="3" t="s">
        <v>37</v>
      </c>
      <c r="C52" s="3">
        <v>0.01</v>
      </c>
      <c r="D52" s="3">
        <v>0.01</v>
      </c>
      <c r="E52" s="3" t="s">
        <v>38</v>
      </c>
      <c r="F52" s="3">
        <v>2896.2660000000001</v>
      </c>
      <c r="G52" s="3"/>
      <c r="H52" s="3"/>
      <c r="I52" s="3">
        <v>0.44</v>
      </c>
      <c r="J52" s="3"/>
    </row>
    <row r="53" spans="1:10" s="2" customFormat="1" x14ac:dyDescent="0.25">
      <c r="A53" s="3" t="s">
        <v>90</v>
      </c>
      <c r="B53" s="3" t="s">
        <v>37</v>
      </c>
      <c r="C53" s="3">
        <v>0.01</v>
      </c>
      <c r="D53" s="3">
        <v>0.01</v>
      </c>
      <c r="E53" s="3" t="s">
        <v>38</v>
      </c>
      <c r="F53" s="3">
        <v>2895.989</v>
      </c>
      <c r="G53" s="3"/>
      <c r="H53" s="3"/>
      <c r="I53" s="3">
        <v>0.16</v>
      </c>
      <c r="J53" s="3"/>
    </row>
    <row r="54" spans="1:10" s="2" customFormat="1" x14ac:dyDescent="0.25">
      <c r="A54" s="3" t="s">
        <v>91</v>
      </c>
      <c r="B54" s="3" t="s">
        <v>37</v>
      </c>
      <c r="C54" s="3">
        <v>0.01</v>
      </c>
      <c r="D54" s="3">
        <v>0.01</v>
      </c>
      <c r="E54" s="3" t="s">
        <v>38</v>
      </c>
      <c r="F54" s="3">
        <v>2939.8989999999999</v>
      </c>
      <c r="G54" s="3"/>
      <c r="H54" s="3"/>
      <c r="I54" s="3">
        <v>0.2</v>
      </c>
      <c r="J54" s="3"/>
    </row>
    <row r="55" spans="1:10" s="2" customFormat="1" x14ac:dyDescent="0.25">
      <c r="A55" s="3" t="s">
        <v>92</v>
      </c>
      <c r="B55" s="3" t="s">
        <v>37</v>
      </c>
      <c r="C55" s="3">
        <v>0.01</v>
      </c>
      <c r="D55" s="3">
        <v>0.01</v>
      </c>
      <c r="E55" s="3" t="s">
        <v>38</v>
      </c>
      <c r="F55" s="3">
        <v>2939.9569999999999</v>
      </c>
      <c r="G55" s="3"/>
      <c r="H55" s="3"/>
      <c r="I55" s="3">
        <v>0.26</v>
      </c>
      <c r="J55" s="3"/>
    </row>
    <row r="56" spans="1:10" s="2" customFormat="1" x14ac:dyDescent="0.25">
      <c r="A56" s="3" t="s">
        <v>93</v>
      </c>
      <c r="B56" s="3" t="s">
        <v>37</v>
      </c>
      <c r="C56" s="3">
        <v>0.01</v>
      </c>
      <c r="D56" s="3">
        <v>0.01</v>
      </c>
      <c r="E56" s="3" t="s">
        <v>38</v>
      </c>
      <c r="F56" s="3">
        <v>2939.9960000000001</v>
      </c>
      <c r="G56" s="3"/>
      <c r="H56" s="3"/>
      <c r="I56" s="3">
        <v>0.3</v>
      </c>
      <c r="J56" s="3"/>
    </row>
    <row r="57" spans="1:10" s="2" customFormat="1" x14ac:dyDescent="0.25">
      <c r="A57" s="3" t="s">
        <v>94</v>
      </c>
      <c r="B57" s="3" t="s">
        <v>37</v>
      </c>
      <c r="C57" s="3">
        <v>0.01</v>
      </c>
      <c r="D57" s="3">
        <v>0.01</v>
      </c>
      <c r="E57" s="3" t="s">
        <v>38</v>
      </c>
      <c r="F57" s="3">
        <v>2940.0129999999999</v>
      </c>
      <c r="G57" s="3"/>
      <c r="H57" s="3"/>
      <c r="I57" s="3">
        <v>0.39</v>
      </c>
      <c r="J57" s="3"/>
    </row>
    <row r="58" spans="1:10" s="2" customFormat="1" x14ac:dyDescent="0.25">
      <c r="A58" s="3" t="s">
        <v>95</v>
      </c>
      <c r="B58" s="3" t="s">
        <v>37</v>
      </c>
      <c r="C58" s="3">
        <v>0.01</v>
      </c>
      <c r="D58" s="3">
        <v>0.01</v>
      </c>
      <c r="E58" s="3" t="s">
        <v>38</v>
      </c>
      <c r="F58" s="3">
        <v>2940.0129999999999</v>
      </c>
      <c r="G58" s="3"/>
      <c r="H58" s="3"/>
      <c r="I58" s="3">
        <v>0.39</v>
      </c>
      <c r="J58" s="3"/>
    </row>
    <row r="59" spans="1:10" s="2" customFormat="1" x14ac:dyDescent="0.25">
      <c r="A59" s="3" t="s">
        <v>96</v>
      </c>
      <c r="B59" s="3" t="s">
        <v>37</v>
      </c>
      <c r="C59" s="3">
        <v>0.01</v>
      </c>
      <c r="D59" s="3">
        <v>0.01</v>
      </c>
      <c r="E59" s="3" t="s">
        <v>38</v>
      </c>
      <c r="F59" s="3">
        <v>2940.0059999999999</v>
      </c>
      <c r="G59" s="3"/>
      <c r="H59" s="3"/>
      <c r="I59" s="3">
        <v>0.38</v>
      </c>
      <c r="J59" s="3"/>
    </row>
    <row r="60" spans="1:10" s="2" customFormat="1" x14ac:dyDescent="0.25">
      <c r="A60" s="3" t="s">
        <v>97</v>
      </c>
      <c r="B60" s="3" t="s">
        <v>37</v>
      </c>
      <c r="C60" s="3">
        <v>0.01</v>
      </c>
      <c r="D60" s="3">
        <v>0.01</v>
      </c>
      <c r="E60" s="3" t="s">
        <v>38</v>
      </c>
      <c r="F60" s="3">
        <v>2940.0259999999998</v>
      </c>
      <c r="G60" s="3"/>
      <c r="H60" s="3"/>
      <c r="I60" s="3">
        <v>0.4</v>
      </c>
      <c r="J60" s="3"/>
    </row>
    <row r="61" spans="1:10" s="2" customFormat="1" x14ac:dyDescent="0.25">
      <c r="A61" s="3" t="s">
        <v>98</v>
      </c>
      <c r="B61" s="3" t="s">
        <v>37</v>
      </c>
      <c r="C61" s="3">
        <v>0.01</v>
      </c>
      <c r="D61" s="3">
        <v>0.01</v>
      </c>
      <c r="E61" s="3" t="s">
        <v>38</v>
      </c>
      <c r="F61" s="3">
        <v>2940.3380000000002</v>
      </c>
      <c r="G61" s="3"/>
      <c r="H61" s="3"/>
      <c r="I61" s="3">
        <v>0.23</v>
      </c>
      <c r="J61" s="3"/>
    </row>
    <row r="62" spans="1:10" s="2" customFormat="1" x14ac:dyDescent="0.25">
      <c r="A62" s="3" t="s">
        <v>99</v>
      </c>
      <c r="B62" s="3" t="s">
        <v>37</v>
      </c>
      <c r="C62" s="3">
        <v>0.01</v>
      </c>
      <c r="D62" s="3">
        <v>0.01</v>
      </c>
      <c r="E62" s="3" t="s">
        <v>38</v>
      </c>
      <c r="F62" s="3">
        <v>2940.194</v>
      </c>
      <c r="G62" s="3"/>
      <c r="H62" s="3"/>
      <c r="I62" s="3">
        <v>0.08</v>
      </c>
      <c r="J62" s="3"/>
    </row>
    <row r="63" spans="1:10" s="2" customFormat="1" x14ac:dyDescent="0.25">
      <c r="A63" s="3" t="s">
        <v>100</v>
      </c>
      <c r="B63" s="3" t="s">
        <v>37</v>
      </c>
      <c r="C63" s="3">
        <v>0.01</v>
      </c>
      <c r="D63" s="3">
        <v>0.01</v>
      </c>
      <c r="E63" s="3" t="s">
        <v>38</v>
      </c>
      <c r="F63" s="3">
        <v>2940.194</v>
      </c>
      <c r="G63" s="3"/>
      <c r="H63" s="3"/>
      <c r="I63" s="3">
        <v>0.08</v>
      </c>
      <c r="J63" s="3"/>
    </row>
    <row r="64" spans="1:10" s="2" customFormat="1" x14ac:dyDescent="0.25">
      <c r="A64" s="3" t="s">
        <v>101</v>
      </c>
      <c r="B64" s="3" t="s">
        <v>37</v>
      </c>
      <c r="C64" s="3">
        <v>0.01</v>
      </c>
      <c r="D64" s="3">
        <v>0.01</v>
      </c>
      <c r="E64" s="3" t="s">
        <v>38</v>
      </c>
      <c r="F64" s="3">
        <v>2940.194</v>
      </c>
      <c r="G64" s="3"/>
      <c r="H64" s="3"/>
      <c r="I64" s="3">
        <v>0.08</v>
      </c>
      <c r="J64" s="3"/>
    </row>
    <row r="65" spans="1:10" s="2" customFormat="1" x14ac:dyDescent="0.25">
      <c r="A65" s="3" t="s">
        <v>102</v>
      </c>
      <c r="B65" s="3" t="s">
        <v>37</v>
      </c>
      <c r="C65" s="3">
        <v>0.01</v>
      </c>
      <c r="D65" s="3">
        <v>0.01</v>
      </c>
      <c r="E65" s="3" t="s">
        <v>38</v>
      </c>
      <c r="F65" s="3">
        <v>2940.3380000000002</v>
      </c>
      <c r="G65" s="3"/>
      <c r="H65" s="3"/>
      <c r="I65" s="3">
        <v>0.23</v>
      </c>
      <c r="J65" s="3"/>
    </row>
    <row r="66" spans="1:10" s="2" customFormat="1" x14ac:dyDescent="0.25">
      <c r="A66" s="3" t="s">
        <v>103</v>
      </c>
      <c r="B66" s="3" t="s">
        <v>37</v>
      </c>
      <c r="C66" s="3">
        <v>0.01</v>
      </c>
      <c r="D66" s="3">
        <v>0.01</v>
      </c>
      <c r="E66" s="3" t="s">
        <v>38</v>
      </c>
      <c r="F66" s="3">
        <v>2940.194</v>
      </c>
      <c r="G66" s="3"/>
      <c r="H66" s="3"/>
      <c r="I66" s="3">
        <v>0.08</v>
      </c>
      <c r="J66" s="3"/>
    </row>
    <row r="67" spans="1:10" s="2" customFormat="1" x14ac:dyDescent="0.25">
      <c r="A67" s="3" t="s">
        <v>104</v>
      </c>
      <c r="B67" s="3" t="s">
        <v>37</v>
      </c>
      <c r="C67" s="3">
        <v>0.01</v>
      </c>
      <c r="D67" s="3">
        <v>0.01</v>
      </c>
      <c r="E67" s="3" t="s">
        <v>38</v>
      </c>
      <c r="F67" s="3">
        <v>2940.491</v>
      </c>
      <c r="G67" s="3"/>
      <c r="H67" s="3"/>
      <c r="I67" s="3">
        <v>-1.62</v>
      </c>
      <c r="J67" s="3">
        <v>-0.2</v>
      </c>
    </row>
    <row r="68" spans="1:10" s="2" customFormat="1" x14ac:dyDescent="0.25">
      <c r="A68" s="3" t="s">
        <v>105</v>
      </c>
      <c r="B68" s="3" t="s">
        <v>37</v>
      </c>
      <c r="C68" s="3">
        <v>0.01</v>
      </c>
      <c r="D68" s="3">
        <v>0.01</v>
      </c>
      <c r="E68" s="3" t="s">
        <v>38</v>
      </c>
      <c r="F68" s="3">
        <v>2940.4070000000002</v>
      </c>
      <c r="G68" s="3"/>
      <c r="H68" s="3"/>
      <c r="I68" s="3">
        <v>-1.7</v>
      </c>
      <c r="J68" s="3">
        <v>-0.2</v>
      </c>
    </row>
    <row r="69" spans="1:10" s="2" customFormat="1" x14ac:dyDescent="0.25">
      <c r="A69" s="3" t="s">
        <v>106</v>
      </c>
      <c r="B69" s="3" t="s">
        <v>37</v>
      </c>
      <c r="C69" s="3">
        <v>0.01</v>
      </c>
      <c r="D69" s="3">
        <v>0.01</v>
      </c>
      <c r="E69" s="3" t="s">
        <v>38</v>
      </c>
      <c r="F69" s="3">
        <v>2940.386</v>
      </c>
      <c r="G69" s="3"/>
      <c r="H69" s="3"/>
      <c r="I69" s="3">
        <v>-1.72</v>
      </c>
      <c r="J69" s="3">
        <v>-0.2</v>
      </c>
    </row>
    <row r="70" spans="1:10" s="2" customFormat="1" x14ac:dyDescent="0.25">
      <c r="A70" s="3" t="s">
        <v>107</v>
      </c>
      <c r="B70" s="3" t="s">
        <v>37</v>
      </c>
      <c r="C70" s="3">
        <v>0.01</v>
      </c>
      <c r="D70" s="3">
        <v>0.01</v>
      </c>
      <c r="E70" s="3" t="s">
        <v>38</v>
      </c>
      <c r="F70" s="3">
        <v>2940.3820000000001</v>
      </c>
      <c r="G70" s="3"/>
      <c r="H70" s="3"/>
      <c r="I70" s="3">
        <v>-1.7</v>
      </c>
      <c r="J70" s="3">
        <v>-0.2</v>
      </c>
    </row>
    <row r="71" spans="1:10" s="2" customFormat="1" x14ac:dyDescent="0.25">
      <c r="A71" s="3" t="s">
        <v>108</v>
      </c>
      <c r="B71" s="3" t="s">
        <v>37</v>
      </c>
      <c r="C71" s="3">
        <v>0.01</v>
      </c>
      <c r="D71" s="3">
        <v>0.01</v>
      </c>
      <c r="E71" s="3" t="s">
        <v>38</v>
      </c>
      <c r="F71" s="3">
        <v>2940.3510000000001</v>
      </c>
      <c r="G71" s="3"/>
      <c r="H71" s="3"/>
      <c r="I71" s="3">
        <v>-1.73</v>
      </c>
      <c r="J71" s="3">
        <v>-0.11</v>
      </c>
    </row>
    <row r="72" spans="1:10" s="2" customFormat="1" x14ac:dyDescent="0.25">
      <c r="A72" s="3" t="s">
        <v>109</v>
      </c>
      <c r="B72" s="3" t="s">
        <v>37</v>
      </c>
      <c r="C72" s="3">
        <v>0.01</v>
      </c>
      <c r="D72" s="3">
        <v>0.01</v>
      </c>
      <c r="E72" s="3" t="s">
        <v>38</v>
      </c>
      <c r="F72" s="3">
        <v>2940.3510000000001</v>
      </c>
      <c r="G72" s="3"/>
      <c r="H72" s="3"/>
      <c r="I72" s="3">
        <v>-1.73</v>
      </c>
      <c r="J72" s="3">
        <v>-0.11</v>
      </c>
    </row>
    <row r="73" spans="1:10" s="2" customFormat="1" x14ac:dyDescent="0.25">
      <c r="A73" s="3" t="s">
        <v>110</v>
      </c>
      <c r="B73" s="3" t="s">
        <v>37</v>
      </c>
      <c r="C73" s="3">
        <v>0.01</v>
      </c>
      <c r="D73" s="3">
        <v>0.01</v>
      </c>
      <c r="E73" s="3" t="s">
        <v>38</v>
      </c>
      <c r="F73" s="3">
        <v>2939.0120000000002</v>
      </c>
      <c r="G73" s="3"/>
      <c r="H73" s="3"/>
      <c r="I73" s="3">
        <v>-1.87</v>
      </c>
      <c r="J73" s="3">
        <v>-0.27</v>
      </c>
    </row>
    <row r="74" spans="1:10" s="2" customFormat="1" x14ac:dyDescent="0.25">
      <c r="A74" s="3" t="s">
        <v>111</v>
      </c>
      <c r="B74" s="3" t="s">
        <v>37</v>
      </c>
      <c r="C74" s="3">
        <v>0.01</v>
      </c>
      <c r="D74" s="3">
        <v>0.01</v>
      </c>
      <c r="E74" s="3" t="s">
        <v>38</v>
      </c>
      <c r="F74" s="3">
        <v>2938.9769999999999</v>
      </c>
      <c r="G74" s="3"/>
      <c r="H74" s="3"/>
      <c r="I74" s="3">
        <v>-1.9</v>
      </c>
      <c r="J74" s="3">
        <v>-0.27</v>
      </c>
    </row>
    <row r="75" spans="1:10" s="2" customFormat="1" x14ac:dyDescent="0.25">
      <c r="A75" s="3" t="s">
        <v>112</v>
      </c>
      <c r="B75" s="3" t="s">
        <v>37</v>
      </c>
      <c r="C75" s="3">
        <v>0.01</v>
      </c>
      <c r="D75" s="3">
        <v>0.01</v>
      </c>
      <c r="E75" s="3" t="s">
        <v>38</v>
      </c>
      <c r="F75" s="3">
        <v>2938.97</v>
      </c>
      <c r="G75" s="3"/>
      <c r="H75" s="3"/>
      <c r="I75" s="3">
        <v>-1.91</v>
      </c>
      <c r="J75" s="3">
        <v>-0.27</v>
      </c>
    </row>
    <row r="76" spans="1:10" s="2" customFormat="1" x14ac:dyDescent="0.25">
      <c r="A76" s="3" t="s">
        <v>113</v>
      </c>
      <c r="B76" s="3" t="s">
        <v>37</v>
      </c>
      <c r="C76" s="3">
        <v>0.01</v>
      </c>
      <c r="D76" s="3">
        <v>0.01</v>
      </c>
      <c r="E76" s="3" t="s">
        <v>38</v>
      </c>
      <c r="F76" s="3">
        <v>2938.953</v>
      </c>
      <c r="G76" s="3"/>
      <c r="H76" s="3"/>
      <c r="I76" s="3">
        <v>-1.93</v>
      </c>
      <c r="J76" s="3">
        <v>-0.27</v>
      </c>
    </row>
    <row r="77" spans="1:10" s="2" customFormat="1" x14ac:dyDescent="0.25">
      <c r="A77" s="3" t="s">
        <v>114</v>
      </c>
      <c r="B77" s="3" t="s">
        <v>37</v>
      </c>
      <c r="C77" s="3">
        <v>0.01</v>
      </c>
      <c r="D77" s="3">
        <v>0.01</v>
      </c>
      <c r="E77" s="3" t="s">
        <v>38</v>
      </c>
      <c r="F77" s="3">
        <v>2938.8890000000001</v>
      </c>
      <c r="G77" s="3"/>
      <c r="H77" s="3"/>
      <c r="I77" s="3">
        <v>-1.99</v>
      </c>
      <c r="J77" s="3">
        <v>-0.27</v>
      </c>
    </row>
    <row r="78" spans="1:10" s="2" customFormat="1" x14ac:dyDescent="0.25">
      <c r="A78" s="3" t="s">
        <v>115</v>
      </c>
      <c r="B78" s="3" t="s">
        <v>37</v>
      </c>
      <c r="C78" s="3">
        <v>0.01</v>
      </c>
      <c r="D78" s="3">
        <v>0.01</v>
      </c>
      <c r="E78" s="3" t="s">
        <v>38</v>
      </c>
      <c r="F78" s="3">
        <v>2938.8679999999999</v>
      </c>
      <c r="G78" s="3"/>
      <c r="H78" s="3"/>
      <c r="I78" s="3">
        <v>-2.0099999999999998</v>
      </c>
      <c r="J78" s="3">
        <v>-0.27</v>
      </c>
    </row>
    <row r="79" spans="1:10" s="2" customFormat="1" x14ac:dyDescent="0.25">
      <c r="A79" s="3" t="s">
        <v>116</v>
      </c>
      <c r="B79" s="3" t="s">
        <v>37</v>
      </c>
      <c r="C79" s="3">
        <v>0.01</v>
      </c>
      <c r="D79" s="3">
        <v>0.01</v>
      </c>
      <c r="E79" s="3" t="s">
        <v>38</v>
      </c>
      <c r="F79" s="3">
        <v>2938.8490000000002</v>
      </c>
      <c r="G79" s="3"/>
      <c r="H79" s="3"/>
      <c r="I79" s="3">
        <v>-2.0299999999999998</v>
      </c>
      <c r="J79" s="3">
        <v>-0.27</v>
      </c>
    </row>
    <row r="80" spans="1:10" s="2" customFormat="1" x14ac:dyDescent="0.25">
      <c r="A80" s="3" t="s">
        <v>117</v>
      </c>
      <c r="B80" s="3" t="s">
        <v>37</v>
      </c>
      <c r="C80" s="3">
        <v>0.01</v>
      </c>
      <c r="D80" s="3">
        <v>0.01</v>
      </c>
      <c r="E80" s="3" t="s">
        <v>38</v>
      </c>
      <c r="F80" s="3">
        <v>2938.8490000000002</v>
      </c>
      <c r="G80" s="3"/>
      <c r="H80" s="3"/>
      <c r="I80" s="3">
        <v>-2.0299999999999998</v>
      </c>
      <c r="J80" s="3">
        <v>-0.27</v>
      </c>
    </row>
    <row r="81" spans="1:10" s="2" customFormat="1" x14ac:dyDescent="0.25">
      <c r="A81" s="3" t="s">
        <v>118</v>
      </c>
      <c r="B81" s="3" t="s">
        <v>37</v>
      </c>
      <c r="C81" s="3">
        <v>0.01</v>
      </c>
      <c r="D81" s="3">
        <v>0.01</v>
      </c>
      <c r="E81" s="3" t="s">
        <v>38</v>
      </c>
      <c r="F81" s="3">
        <v>2939.0619999999999</v>
      </c>
      <c r="G81" s="3"/>
      <c r="H81" s="3"/>
      <c r="I81" s="3">
        <v>0.06</v>
      </c>
      <c r="J81" s="3"/>
    </row>
    <row r="82" spans="1:10" s="2" customFormat="1" x14ac:dyDescent="0.25">
      <c r="A82" s="3" t="s">
        <v>119</v>
      </c>
      <c r="B82" s="3" t="s">
        <v>37</v>
      </c>
      <c r="C82" s="3">
        <v>0.01</v>
      </c>
      <c r="D82" s="3">
        <v>0.01</v>
      </c>
      <c r="E82" s="3" t="s">
        <v>38</v>
      </c>
      <c r="F82" s="3">
        <v>2939.0619999999999</v>
      </c>
      <c r="G82" s="3"/>
      <c r="H82" s="3"/>
      <c r="I82" s="3">
        <v>0.06</v>
      </c>
      <c r="J82" s="3"/>
    </row>
    <row r="83" spans="1:10" s="2" customFormat="1" x14ac:dyDescent="0.25">
      <c r="A83" s="3" t="s">
        <v>120</v>
      </c>
      <c r="B83" s="3" t="s">
        <v>37</v>
      </c>
      <c r="C83" s="3">
        <v>0.01</v>
      </c>
      <c r="D83" s="3">
        <v>0.01</v>
      </c>
      <c r="E83" s="3" t="s">
        <v>38</v>
      </c>
      <c r="F83" s="3">
        <v>2938.9490000000001</v>
      </c>
      <c r="G83" s="3"/>
      <c r="H83" s="3"/>
      <c r="I83" s="3">
        <v>-0.05</v>
      </c>
      <c r="J83" s="3"/>
    </row>
    <row r="84" spans="1:10" s="2" customFormat="1" x14ac:dyDescent="0.25">
      <c r="A84" s="3" t="s">
        <v>121</v>
      </c>
      <c r="B84" s="3" t="s">
        <v>37</v>
      </c>
      <c r="C84" s="3">
        <v>0.01</v>
      </c>
      <c r="D84" s="3">
        <v>0.01</v>
      </c>
      <c r="E84" s="3" t="s">
        <v>38</v>
      </c>
      <c r="F84" s="3">
        <v>2938.864</v>
      </c>
      <c r="G84" s="3"/>
      <c r="H84" s="3"/>
      <c r="I84" s="3">
        <v>-0.14000000000000001</v>
      </c>
      <c r="J84" s="3"/>
    </row>
    <row r="85" spans="1:10" s="2" customFormat="1" x14ac:dyDescent="0.25">
      <c r="A85" s="3" t="s">
        <v>122</v>
      </c>
      <c r="B85" s="3" t="s">
        <v>37</v>
      </c>
      <c r="C85" s="3">
        <v>0.01</v>
      </c>
      <c r="D85" s="3">
        <v>0.01</v>
      </c>
      <c r="E85" s="3" t="s">
        <v>38</v>
      </c>
      <c r="F85" s="3">
        <v>2938.9520000000002</v>
      </c>
      <c r="G85" s="3"/>
      <c r="H85" s="3"/>
      <c r="I85" s="3">
        <v>-0.05</v>
      </c>
      <c r="J85" s="3"/>
    </row>
    <row r="86" spans="1:10" s="2" customFormat="1" x14ac:dyDescent="0.25">
      <c r="A86" s="3" t="s">
        <v>123</v>
      </c>
      <c r="B86" s="3" t="s">
        <v>37</v>
      </c>
      <c r="C86" s="3">
        <v>0.01</v>
      </c>
      <c r="D86" s="3">
        <v>0.01</v>
      </c>
      <c r="E86" s="3" t="s">
        <v>38</v>
      </c>
      <c r="F86" s="3">
        <v>2938.864</v>
      </c>
      <c r="G86" s="3"/>
      <c r="H86" s="3"/>
      <c r="I86" s="3">
        <v>-0.14000000000000001</v>
      </c>
      <c r="J86" s="3"/>
    </row>
    <row r="87" spans="1:10" s="2" customFormat="1" x14ac:dyDescent="0.25">
      <c r="A87" s="3" t="s">
        <v>124</v>
      </c>
      <c r="B87" s="3" t="s">
        <v>50</v>
      </c>
      <c r="C87" s="3">
        <v>0.01</v>
      </c>
      <c r="D87" s="3">
        <v>0.01</v>
      </c>
      <c r="E87" s="3" t="s">
        <v>38</v>
      </c>
      <c r="F87" s="3">
        <v>2934.056</v>
      </c>
      <c r="G87" s="3"/>
      <c r="H87" s="3"/>
      <c r="I87" s="3">
        <v>0.37</v>
      </c>
      <c r="J87" s="3"/>
    </row>
    <row r="88" spans="1:10" s="2" customFormat="1" x14ac:dyDescent="0.25">
      <c r="A88" s="3" t="s">
        <v>125</v>
      </c>
      <c r="B88" s="3" t="s">
        <v>50</v>
      </c>
      <c r="C88" s="3">
        <v>0.01</v>
      </c>
      <c r="D88" s="3">
        <v>0.01</v>
      </c>
      <c r="E88" s="3" t="s">
        <v>38</v>
      </c>
      <c r="F88" s="3">
        <v>2934.4549999999999</v>
      </c>
      <c r="G88" s="3"/>
      <c r="H88" s="3"/>
      <c r="I88" s="3">
        <v>-0.03</v>
      </c>
      <c r="J88" s="3"/>
    </row>
    <row r="89" spans="1:10" s="2" customFormat="1" x14ac:dyDescent="0.25">
      <c r="A89" s="3" t="s">
        <v>126</v>
      </c>
      <c r="B89" s="3" t="s">
        <v>50</v>
      </c>
      <c r="C89" s="3">
        <v>0.01</v>
      </c>
      <c r="D89" s="3">
        <v>0.01</v>
      </c>
      <c r="E89" s="3" t="s">
        <v>38</v>
      </c>
      <c r="F89" s="3">
        <v>2934.056</v>
      </c>
      <c r="G89" s="3"/>
      <c r="H89" s="3"/>
      <c r="I89" s="3">
        <v>0.37</v>
      </c>
      <c r="J89" s="3"/>
    </row>
    <row r="90" spans="1:10" s="2" customFormat="1" x14ac:dyDescent="0.25">
      <c r="A90" s="3" t="s">
        <v>127</v>
      </c>
      <c r="B90" s="3" t="s">
        <v>50</v>
      </c>
      <c r="C90" s="3">
        <v>0.01</v>
      </c>
      <c r="D90" s="3">
        <v>0.01</v>
      </c>
      <c r="E90" s="3" t="s">
        <v>38</v>
      </c>
      <c r="F90" s="3">
        <v>2933.4409999999998</v>
      </c>
      <c r="G90" s="3"/>
      <c r="H90" s="3"/>
      <c r="I90" s="3">
        <v>0.99</v>
      </c>
      <c r="J90" s="3"/>
    </row>
    <row r="91" spans="1:10" s="2" customFormat="1" x14ac:dyDescent="0.25">
      <c r="A91" s="3" t="s">
        <v>128</v>
      </c>
      <c r="B91" s="3" t="s">
        <v>50</v>
      </c>
      <c r="C91" s="3">
        <v>0.01</v>
      </c>
      <c r="D91" s="3">
        <v>0.01</v>
      </c>
      <c r="E91" s="3" t="s">
        <v>38</v>
      </c>
      <c r="F91" s="3">
        <v>2933.2289999999998</v>
      </c>
      <c r="G91" s="3"/>
      <c r="H91" s="3"/>
      <c r="I91" s="3">
        <v>-0.09</v>
      </c>
      <c r="J91" s="3"/>
    </row>
    <row r="92" spans="1:10" s="2" customFormat="1" x14ac:dyDescent="0.25">
      <c r="A92" s="3" t="s">
        <v>129</v>
      </c>
      <c r="B92" s="3" t="s">
        <v>50</v>
      </c>
      <c r="C92" s="3">
        <v>0.01</v>
      </c>
      <c r="D92" s="3">
        <v>0.01</v>
      </c>
      <c r="E92" s="3" t="s">
        <v>38</v>
      </c>
      <c r="F92" s="3">
        <v>2933.029</v>
      </c>
      <c r="G92" s="3"/>
      <c r="H92" s="3"/>
      <c r="I92" s="3">
        <v>0.11</v>
      </c>
      <c r="J92" s="3"/>
    </row>
    <row r="93" spans="1:10" s="2" customFormat="1" x14ac:dyDescent="0.25">
      <c r="A93" s="3" t="s">
        <v>130</v>
      </c>
      <c r="B93" s="3" t="s">
        <v>50</v>
      </c>
      <c r="C93" s="3">
        <v>0.01</v>
      </c>
      <c r="D93" s="3">
        <v>0.01</v>
      </c>
      <c r="E93" s="3" t="s">
        <v>38</v>
      </c>
      <c r="F93" s="3">
        <v>2933.029</v>
      </c>
      <c r="G93" s="3"/>
      <c r="H93" s="3"/>
      <c r="I93" s="3">
        <v>0.11</v>
      </c>
      <c r="J93" s="3"/>
    </row>
    <row r="94" spans="1:10" s="2" customFormat="1" x14ac:dyDescent="0.25">
      <c r="A94" s="3" t="s">
        <v>131</v>
      </c>
      <c r="B94" s="3" t="s">
        <v>50</v>
      </c>
      <c r="C94" s="3">
        <v>0.01</v>
      </c>
      <c r="D94" s="3">
        <v>0.01</v>
      </c>
      <c r="E94" s="3" t="s">
        <v>38</v>
      </c>
      <c r="F94" s="3">
        <v>2933.123</v>
      </c>
      <c r="G94" s="3"/>
      <c r="H94" s="3"/>
      <c r="I94" s="3">
        <v>0.02</v>
      </c>
      <c r="J94" s="3"/>
    </row>
    <row r="95" spans="1:10" s="2" customFormat="1" x14ac:dyDescent="0.25">
      <c r="A95" s="3" t="s">
        <v>132</v>
      </c>
      <c r="B95" s="3" t="s">
        <v>50</v>
      </c>
      <c r="C95" s="3">
        <v>0.01</v>
      </c>
      <c r="D95" s="3">
        <v>0.01</v>
      </c>
      <c r="E95" s="3" t="s">
        <v>38</v>
      </c>
      <c r="F95" s="3">
        <v>2933.1849999999999</v>
      </c>
      <c r="G95" s="3"/>
      <c r="H95" s="3"/>
      <c r="I95" s="3">
        <v>-0.05</v>
      </c>
      <c r="J95" s="3"/>
    </row>
    <row r="96" spans="1:10" s="2" customFormat="1" x14ac:dyDescent="0.25">
      <c r="A96" s="3" t="s">
        <v>133</v>
      </c>
      <c r="B96" s="3" t="s">
        <v>50</v>
      </c>
      <c r="C96" s="3">
        <v>0.01</v>
      </c>
      <c r="D96" s="3">
        <v>0.01</v>
      </c>
      <c r="E96" s="3" t="s">
        <v>38</v>
      </c>
      <c r="F96" s="3">
        <v>2933.16</v>
      </c>
      <c r="G96" s="3"/>
      <c r="H96" s="3"/>
      <c r="I96" s="3">
        <v>-0.02</v>
      </c>
      <c r="J96" s="3"/>
    </row>
    <row r="97" spans="1:10" s="2" customFormat="1" x14ac:dyDescent="0.25">
      <c r="A97" s="3" t="s">
        <v>134</v>
      </c>
      <c r="B97" s="3" t="s">
        <v>50</v>
      </c>
      <c r="C97" s="3">
        <v>0.01</v>
      </c>
      <c r="D97" s="3">
        <v>0.01</v>
      </c>
      <c r="E97" s="3" t="s">
        <v>38</v>
      </c>
      <c r="F97" s="3">
        <v>2933.143</v>
      </c>
      <c r="G97" s="3"/>
      <c r="H97" s="3"/>
      <c r="I97" s="3">
        <v>0</v>
      </c>
      <c r="J97" s="3"/>
    </row>
    <row r="98" spans="1:10" s="2" customFormat="1" x14ac:dyDescent="0.25">
      <c r="A98" s="3" t="s">
        <v>135</v>
      </c>
      <c r="B98" s="3" t="s">
        <v>50</v>
      </c>
      <c r="C98" s="3">
        <v>0.01</v>
      </c>
      <c r="D98" s="3">
        <v>0.01</v>
      </c>
      <c r="E98" s="3" t="s">
        <v>38</v>
      </c>
      <c r="F98" s="3">
        <v>2933.0349999999999</v>
      </c>
      <c r="G98" s="3"/>
      <c r="H98" s="3"/>
      <c r="I98" s="3">
        <v>0.1</v>
      </c>
      <c r="J98" s="3"/>
    </row>
    <row r="99" spans="1:10" s="2" customFormat="1" x14ac:dyDescent="0.25">
      <c r="A99" s="3" t="s">
        <v>136</v>
      </c>
      <c r="B99" s="3" t="s">
        <v>50</v>
      </c>
      <c r="C99" s="3">
        <v>0.01</v>
      </c>
      <c r="D99" s="3">
        <v>0.01</v>
      </c>
      <c r="E99" s="3" t="s">
        <v>38</v>
      </c>
      <c r="F99" s="3">
        <v>2933.143</v>
      </c>
      <c r="G99" s="3"/>
      <c r="H99" s="3"/>
      <c r="I99" s="3">
        <v>0</v>
      </c>
      <c r="J99" s="3"/>
    </row>
    <row r="100" spans="1:10" s="2" customFormat="1" x14ac:dyDescent="0.25">
      <c r="A100" s="3" t="s">
        <v>137</v>
      </c>
      <c r="B100" s="3" t="s">
        <v>37</v>
      </c>
      <c r="C100" s="3">
        <v>0.01</v>
      </c>
      <c r="D100" s="3">
        <v>0.01</v>
      </c>
      <c r="E100" s="3" t="s">
        <v>38</v>
      </c>
      <c r="F100" s="3">
        <v>2932.826</v>
      </c>
      <c r="G100" s="3"/>
      <c r="H100" s="3"/>
      <c r="I100" s="3">
        <v>1.1599999999999999</v>
      </c>
      <c r="J100" s="3"/>
    </row>
    <row r="101" spans="1:10" s="2" customFormat="1" x14ac:dyDescent="0.25">
      <c r="A101" s="3" t="s">
        <v>138</v>
      </c>
      <c r="B101" s="3" t="s">
        <v>37</v>
      </c>
      <c r="C101" s="3">
        <v>0.01</v>
      </c>
      <c r="D101" s="3">
        <v>0.01</v>
      </c>
      <c r="E101" s="3" t="s">
        <v>38</v>
      </c>
      <c r="F101" s="3">
        <v>2933.1469999999999</v>
      </c>
      <c r="G101" s="3"/>
      <c r="H101" s="3"/>
      <c r="I101" s="3">
        <v>1.48</v>
      </c>
      <c r="J101" s="3"/>
    </row>
    <row r="102" spans="1:10" s="2" customFormat="1" x14ac:dyDescent="0.25">
      <c r="A102" s="3" t="s">
        <v>139</v>
      </c>
      <c r="B102" s="3" t="s">
        <v>37</v>
      </c>
      <c r="C102" s="3">
        <v>0.01</v>
      </c>
      <c r="D102" s="3">
        <v>0.01</v>
      </c>
      <c r="E102" s="3" t="s">
        <v>38</v>
      </c>
      <c r="F102" s="3">
        <v>2933.2350000000001</v>
      </c>
      <c r="G102" s="3"/>
      <c r="H102" s="3"/>
      <c r="I102" s="3">
        <v>1.57</v>
      </c>
      <c r="J102" s="3"/>
    </row>
    <row r="103" spans="1:10" s="2" customFormat="1" x14ac:dyDescent="0.25">
      <c r="A103" s="3" t="s">
        <v>140</v>
      </c>
      <c r="B103" s="3" t="s">
        <v>37</v>
      </c>
      <c r="C103" s="3">
        <v>0.01</v>
      </c>
      <c r="D103" s="3">
        <v>0.01</v>
      </c>
      <c r="E103" s="3" t="s">
        <v>38</v>
      </c>
      <c r="F103" s="3">
        <v>2933.0639999999999</v>
      </c>
      <c r="G103" s="3"/>
      <c r="H103" s="3"/>
      <c r="I103" s="3">
        <v>1.39</v>
      </c>
      <c r="J103" s="3"/>
    </row>
    <row r="104" spans="1:10" s="2" customFormat="1" x14ac:dyDescent="0.25">
      <c r="A104" s="3" t="s">
        <v>141</v>
      </c>
      <c r="B104" s="3" t="s">
        <v>37</v>
      </c>
      <c r="C104" s="3">
        <v>0.01</v>
      </c>
      <c r="D104" s="3">
        <v>0.01</v>
      </c>
      <c r="E104" s="3" t="s">
        <v>38</v>
      </c>
      <c r="F104" s="3">
        <v>2933.1329999999998</v>
      </c>
      <c r="G104" s="3"/>
      <c r="H104" s="3"/>
      <c r="I104" s="3">
        <v>1.46</v>
      </c>
      <c r="J104" s="3"/>
    </row>
    <row r="105" spans="1:10" s="2" customFormat="1" x14ac:dyDescent="0.25">
      <c r="A105" s="3" t="s">
        <v>142</v>
      </c>
      <c r="B105" s="3" t="s">
        <v>37</v>
      </c>
      <c r="C105" s="3">
        <v>0.01</v>
      </c>
      <c r="D105" s="3">
        <v>0.01</v>
      </c>
      <c r="E105" s="3" t="s">
        <v>38</v>
      </c>
      <c r="F105" s="3">
        <v>2933.0360000000001</v>
      </c>
      <c r="G105" s="3"/>
      <c r="H105" s="3"/>
      <c r="I105" s="3">
        <v>1.37</v>
      </c>
      <c r="J105" s="3"/>
    </row>
    <row r="106" spans="1:10" s="2" customFormat="1" x14ac:dyDescent="0.25">
      <c r="A106" s="3" t="s">
        <v>143</v>
      </c>
      <c r="B106" s="3" t="s">
        <v>37</v>
      </c>
      <c r="C106" s="3">
        <v>0.01</v>
      </c>
      <c r="D106" s="3">
        <v>0.01</v>
      </c>
      <c r="E106" s="3" t="s">
        <v>38</v>
      </c>
      <c r="F106" s="3">
        <v>2932.9549999999999</v>
      </c>
      <c r="G106" s="3"/>
      <c r="H106" s="3"/>
      <c r="I106" s="3">
        <v>1.29</v>
      </c>
      <c r="J106" s="3"/>
    </row>
    <row r="107" spans="1:10" s="2" customFormat="1" x14ac:dyDescent="0.25">
      <c r="A107" s="3" t="s">
        <v>144</v>
      </c>
      <c r="B107" s="3" t="s">
        <v>37</v>
      </c>
      <c r="C107" s="3">
        <v>0.01</v>
      </c>
      <c r="D107" s="3">
        <v>0.01</v>
      </c>
      <c r="E107" s="3" t="s">
        <v>38</v>
      </c>
      <c r="F107" s="3">
        <v>2932.8980000000001</v>
      </c>
      <c r="G107" s="3"/>
      <c r="H107" s="3"/>
      <c r="I107" s="3">
        <v>1.23</v>
      </c>
      <c r="J107" s="3"/>
    </row>
    <row r="108" spans="1:10" s="2" customFormat="1" x14ac:dyDescent="0.25">
      <c r="A108" s="3" t="s">
        <v>145</v>
      </c>
      <c r="B108" s="3" t="s">
        <v>37</v>
      </c>
      <c r="C108" s="3">
        <v>0.01</v>
      </c>
      <c r="D108" s="3">
        <v>0.01</v>
      </c>
      <c r="E108" s="3" t="s">
        <v>38</v>
      </c>
      <c r="F108" s="3">
        <v>2932.8980000000001</v>
      </c>
      <c r="G108" s="3"/>
      <c r="H108" s="3"/>
      <c r="I108" s="3">
        <v>1.23</v>
      </c>
      <c r="J108" s="3"/>
    </row>
    <row r="109" spans="1:10" s="2" customFormat="1" x14ac:dyDescent="0.25">
      <c r="A109" s="3" t="s">
        <v>146</v>
      </c>
      <c r="B109" s="3" t="s">
        <v>37</v>
      </c>
      <c r="C109" s="3">
        <v>0.01</v>
      </c>
      <c r="D109" s="3">
        <v>0.01</v>
      </c>
      <c r="E109" s="3" t="s">
        <v>38</v>
      </c>
      <c r="F109" s="3">
        <v>2932.8440000000001</v>
      </c>
      <c r="G109" s="3"/>
      <c r="H109" s="3"/>
      <c r="I109" s="3">
        <v>1.17</v>
      </c>
      <c r="J109" s="3"/>
    </row>
    <row r="110" spans="1:10" s="2" customFormat="1" x14ac:dyDescent="0.25">
      <c r="A110" s="3" t="s">
        <v>147</v>
      </c>
      <c r="B110" s="3" t="s">
        <v>37</v>
      </c>
      <c r="C110" s="3">
        <v>0.01</v>
      </c>
      <c r="D110" s="3">
        <v>0.01</v>
      </c>
      <c r="E110" s="3" t="s">
        <v>38</v>
      </c>
      <c r="F110" s="3">
        <v>2932.799</v>
      </c>
      <c r="G110" s="3"/>
      <c r="H110" s="3"/>
      <c r="I110" s="3">
        <v>1.1299999999999999</v>
      </c>
      <c r="J110" s="3"/>
    </row>
    <row r="111" spans="1:10" s="2" customFormat="1" x14ac:dyDescent="0.25">
      <c r="A111" s="3" t="s">
        <v>148</v>
      </c>
      <c r="B111" s="3" t="s">
        <v>50</v>
      </c>
      <c r="C111" s="3">
        <v>0.01</v>
      </c>
      <c r="D111" s="3">
        <v>0.01</v>
      </c>
      <c r="E111" s="3" t="s">
        <v>38</v>
      </c>
      <c r="F111" s="3">
        <v>2938.547</v>
      </c>
      <c r="G111" s="3"/>
      <c r="H111" s="3"/>
      <c r="I111" s="3">
        <v>0.83</v>
      </c>
      <c r="J111" s="3"/>
    </row>
    <row r="112" spans="1:10" s="2" customFormat="1" x14ac:dyDescent="0.25">
      <c r="A112" s="3" t="s">
        <v>149</v>
      </c>
      <c r="B112" s="3" t="s">
        <v>50</v>
      </c>
      <c r="C112" s="3">
        <v>0.01</v>
      </c>
      <c r="D112" s="3">
        <v>0.01</v>
      </c>
      <c r="E112" s="3" t="s">
        <v>38</v>
      </c>
      <c r="F112" s="3">
        <v>2938.538</v>
      </c>
      <c r="G112" s="3"/>
      <c r="H112" s="3"/>
      <c r="I112" s="3">
        <v>0.84</v>
      </c>
      <c r="J112" s="3"/>
    </row>
    <row r="113" spans="1:10" s="2" customFormat="1" x14ac:dyDescent="0.25">
      <c r="A113" s="3" t="s">
        <v>150</v>
      </c>
      <c r="B113" s="3" t="s">
        <v>50</v>
      </c>
      <c r="C113" s="3">
        <v>0.01</v>
      </c>
      <c r="D113" s="3">
        <v>0.01</v>
      </c>
      <c r="E113" s="3" t="s">
        <v>38</v>
      </c>
      <c r="F113" s="3">
        <v>2938.6860000000001</v>
      </c>
      <c r="G113" s="3"/>
      <c r="H113" s="3"/>
      <c r="I113" s="3">
        <v>0.69</v>
      </c>
      <c r="J113" s="3"/>
    </row>
    <row r="114" spans="1:10" s="2" customFormat="1" x14ac:dyDescent="0.25">
      <c r="A114" s="3" t="s">
        <v>151</v>
      </c>
      <c r="B114" s="3" t="s">
        <v>50</v>
      </c>
      <c r="C114" s="3">
        <v>0.01</v>
      </c>
      <c r="D114" s="3">
        <v>0.01</v>
      </c>
      <c r="E114" s="3" t="s">
        <v>38</v>
      </c>
      <c r="F114" s="3">
        <v>2938.6309999999999</v>
      </c>
      <c r="G114" s="3"/>
      <c r="H114" s="3"/>
      <c r="I114" s="3">
        <v>0.75</v>
      </c>
      <c r="J114" s="3"/>
    </row>
    <row r="115" spans="1:10" s="2" customFormat="1" x14ac:dyDescent="0.25">
      <c r="A115" s="3" t="s">
        <v>152</v>
      </c>
      <c r="B115" s="3" t="s">
        <v>50</v>
      </c>
      <c r="C115" s="3">
        <v>0.01</v>
      </c>
      <c r="D115" s="3">
        <v>0.01</v>
      </c>
      <c r="E115" s="3" t="s">
        <v>38</v>
      </c>
      <c r="F115" s="3">
        <v>2938.6790000000001</v>
      </c>
      <c r="G115" s="3"/>
      <c r="H115" s="3"/>
      <c r="I115" s="3">
        <v>0.7</v>
      </c>
      <c r="J115" s="3"/>
    </row>
    <row r="116" spans="1:10" s="2" customFormat="1" x14ac:dyDescent="0.25">
      <c r="A116" s="3" t="s">
        <v>153</v>
      </c>
      <c r="B116" s="3" t="s">
        <v>50</v>
      </c>
      <c r="C116" s="3">
        <v>0.01</v>
      </c>
      <c r="D116" s="3">
        <v>0.01</v>
      </c>
      <c r="E116" s="3" t="s">
        <v>38</v>
      </c>
      <c r="F116" s="3">
        <v>2938.6709999999998</v>
      </c>
      <c r="G116" s="3"/>
      <c r="H116" s="3"/>
      <c r="I116" s="3">
        <v>0.71</v>
      </c>
      <c r="J116" s="3"/>
    </row>
    <row r="117" spans="1:10" s="2" customFormat="1" x14ac:dyDescent="0.25">
      <c r="A117" s="3" t="s">
        <v>154</v>
      </c>
      <c r="B117" s="3" t="s">
        <v>50</v>
      </c>
      <c r="C117" s="3">
        <v>0.01</v>
      </c>
      <c r="D117" s="3">
        <v>0.01</v>
      </c>
      <c r="E117" s="3" t="s">
        <v>38</v>
      </c>
      <c r="F117" s="3">
        <v>2938.6709999999998</v>
      </c>
      <c r="G117" s="3"/>
      <c r="H117" s="3"/>
      <c r="I117" s="3">
        <v>0.71</v>
      </c>
      <c r="J117" s="3"/>
    </row>
    <row r="118" spans="1:10" s="2" customFormat="1" x14ac:dyDescent="0.25">
      <c r="A118" s="3" t="s">
        <v>155</v>
      </c>
      <c r="B118" s="3" t="s">
        <v>50</v>
      </c>
      <c r="C118" s="3">
        <v>0.01</v>
      </c>
      <c r="D118" s="3">
        <v>0.01</v>
      </c>
      <c r="E118" s="3" t="s">
        <v>38</v>
      </c>
      <c r="F118" s="3">
        <v>2938.4940000000001</v>
      </c>
      <c r="G118" s="3"/>
      <c r="H118" s="3"/>
      <c r="I118" s="3">
        <v>0.5</v>
      </c>
      <c r="J118" s="3"/>
    </row>
    <row r="119" spans="1:10" s="2" customFormat="1" x14ac:dyDescent="0.25">
      <c r="A119" s="3" t="s">
        <v>156</v>
      </c>
      <c r="B119" s="3" t="s">
        <v>50</v>
      </c>
      <c r="C119" s="3">
        <v>0.01</v>
      </c>
      <c r="D119" s="3">
        <v>0.01</v>
      </c>
      <c r="E119" s="3" t="s">
        <v>38</v>
      </c>
      <c r="F119" s="3">
        <v>2938.3679999999999</v>
      </c>
      <c r="G119" s="3"/>
      <c r="H119" s="3"/>
      <c r="I119" s="3">
        <v>0.62</v>
      </c>
      <c r="J119" s="3"/>
    </row>
    <row r="120" spans="1:10" s="2" customFormat="1" x14ac:dyDescent="0.25">
      <c r="A120" s="3" t="s">
        <v>157</v>
      </c>
      <c r="B120" s="3" t="s">
        <v>50</v>
      </c>
      <c r="C120" s="3">
        <v>0.01</v>
      </c>
      <c r="D120" s="3">
        <v>0.01</v>
      </c>
      <c r="E120" s="3" t="s">
        <v>38</v>
      </c>
      <c r="F120" s="3">
        <v>2938.5010000000002</v>
      </c>
      <c r="G120" s="3"/>
      <c r="H120" s="3"/>
      <c r="I120" s="3">
        <v>0.49</v>
      </c>
      <c r="J120" s="3"/>
    </row>
    <row r="121" spans="1:10" s="2" customFormat="1" x14ac:dyDescent="0.25">
      <c r="A121" s="3" t="s">
        <v>158</v>
      </c>
      <c r="B121" s="3" t="s">
        <v>50</v>
      </c>
      <c r="C121" s="3">
        <v>0.01</v>
      </c>
      <c r="D121" s="3">
        <v>0.01</v>
      </c>
      <c r="E121" s="3" t="s">
        <v>38</v>
      </c>
      <c r="F121" s="3">
        <v>2938.5010000000002</v>
      </c>
      <c r="G121" s="3"/>
      <c r="H121" s="3"/>
      <c r="I121" s="3">
        <v>0.49</v>
      </c>
      <c r="J121" s="3"/>
    </row>
    <row r="122" spans="1:10" s="2" customFormat="1" x14ac:dyDescent="0.25">
      <c r="A122" s="3" t="s">
        <v>159</v>
      </c>
      <c r="B122" s="3" t="s">
        <v>50</v>
      </c>
      <c r="C122" s="3">
        <v>0.01</v>
      </c>
      <c r="D122" s="3">
        <v>0.01</v>
      </c>
      <c r="E122" s="3" t="s">
        <v>38</v>
      </c>
      <c r="F122" s="3">
        <v>2938.7629999999999</v>
      </c>
      <c r="G122" s="3"/>
      <c r="H122" s="3"/>
      <c r="I122" s="3">
        <v>0.23</v>
      </c>
      <c r="J122" s="3"/>
    </row>
    <row r="123" spans="1:10" s="2" customFormat="1" x14ac:dyDescent="0.25">
      <c r="A123" s="3" t="s">
        <v>160</v>
      </c>
      <c r="B123" s="3" t="s">
        <v>50</v>
      </c>
      <c r="C123" s="3">
        <v>0.01</v>
      </c>
      <c r="D123" s="3">
        <v>0.01</v>
      </c>
      <c r="E123" s="3" t="s">
        <v>38</v>
      </c>
      <c r="F123" s="3">
        <v>2938.6329999999998</v>
      </c>
      <c r="G123" s="3"/>
      <c r="H123" s="3"/>
      <c r="I123" s="3">
        <v>0.36</v>
      </c>
      <c r="J123" s="3"/>
    </row>
    <row r="124" spans="1:10" s="2" customFormat="1" x14ac:dyDescent="0.25">
      <c r="A124" s="3" t="s">
        <v>161</v>
      </c>
      <c r="B124" s="3" t="s">
        <v>50</v>
      </c>
      <c r="C124" s="3">
        <v>0.01</v>
      </c>
      <c r="D124" s="3">
        <v>0.01</v>
      </c>
      <c r="E124" s="3" t="s">
        <v>38</v>
      </c>
      <c r="F124" s="3">
        <v>2939.105</v>
      </c>
      <c r="G124" s="3"/>
      <c r="H124" s="3"/>
      <c r="I124" s="3">
        <v>7.0000000000000007E-2</v>
      </c>
      <c r="J124" s="3"/>
    </row>
    <row r="125" spans="1:10" s="2" customFormat="1" x14ac:dyDescent="0.25">
      <c r="A125" s="3" t="s">
        <v>162</v>
      </c>
      <c r="B125" s="3" t="s">
        <v>50</v>
      </c>
      <c r="C125" s="3">
        <v>0.01</v>
      </c>
      <c r="D125" s="3">
        <v>0.01</v>
      </c>
      <c r="E125" s="3" t="s">
        <v>38</v>
      </c>
      <c r="F125" s="3">
        <v>2939.17</v>
      </c>
      <c r="G125" s="3"/>
      <c r="H125" s="3"/>
      <c r="I125" s="3">
        <v>0.01</v>
      </c>
      <c r="J125" s="3"/>
    </row>
    <row r="126" spans="1:10" s="2" customFormat="1" x14ac:dyDescent="0.25">
      <c r="A126" s="3" t="s">
        <v>163</v>
      </c>
      <c r="B126" s="3" t="s">
        <v>50</v>
      </c>
      <c r="C126" s="3">
        <v>0.01</v>
      </c>
      <c r="D126" s="3">
        <v>0.01</v>
      </c>
      <c r="E126" s="3" t="s">
        <v>38</v>
      </c>
      <c r="F126" s="3">
        <v>2939.105</v>
      </c>
      <c r="G126" s="3"/>
      <c r="H126" s="3"/>
      <c r="I126" s="3">
        <v>7.0000000000000007E-2</v>
      </c>
      <c r="J126" s="3"/>
    </row>
    <row r="127" spans="1:10" s="2" customFormat="1" x14ac:dyDescent="0.25">
      <c r="A127" s="3" t="s">
        <v>164</v>
      </c>
      <c r="B127" s="3" t="s">
        <v>50</v>
      </c>
      <c r="C127" s="3">
        <v>0.01</v>
      </c>
      <c r="D127" s="3">
        <v>0.01</v>
      </c>
      <c r="E127" s="3" t="s">
        <v>38</v>
      </c>
      <c r="F127" s="3">
        <v>2939.13</v>
      </c>
      <c r="G127" s="3"/>
      <c r="H127" s="3"/>
      <c r="I127" s="3">
        <v>0.05</v>
      </c>
      <c r="J127" s="3"/>
    </row>
    <row r="128" spans="1:10" s="2" customFormat="1" x14ac:dyDescent="0.25">
      <c r="A128" s="3" t="s">
        <v>165</v>
      </c>
      <c r="B128" s="3" t="s">
        <v>50</v>
      </c>
      <c r="C128" s="3">
        <v>0.01</v>
      </c>
      <c r="D128" s="3">
        <v>0.01</v>
      </c>
      <c r="E128" s="3" t="s">
        <v>38</v>
      </c>
      <c r="F128" s="3">
        <v>2939.2060000000001</v>
      </c>
      <c r="G128" s="3"/>
      <c r="H128" s="3"/>
      <c r="I128" s="3">
        <v>-0.03</v>
      </c>
      <c r="J128" s="3"/>
    </row>
    <row r="129" spans="1:10" s="2" customFormat="1" x14ac:dyDescent="0.25">
      <c r="A129" s="3" t="s">
        <v>166</v>
      </c>
      <c r="B129" s="3" t="s">
        <v>50</v>
      </c>
      <c r="C129" s="3">
        <v>0.01</v>
      </c>
      <c r="D129" s="3">
        <v>0.01</v>
      </c>
      <c r="E129" s="3" t="s">
        <v>38</v>
      </c>
      <c r="F129" s="3">
        <v>2939.1680000000001</v>
      </c>
      <c r="G129" s="3"/>
      <c r="H129" s="3"/>
      <c r="I129" s="3">
        <v>0.01</v>
      </c>
      <c r="J129" s="3"/>
    </row>
    <row r="130" spans="1:10" s="2" customFormat="1" x14ac:dyDescent="0.25">
      <c r="A130" s="3" t="s">
        <v>167</v>
      </c>
      <c r="B130" s="3" t="s">
        <v>50</v>
      </c>
      <c r="C130" s="3">
        <v>0.01</v>
      </c>
      <c r="D130" s="3">
        <v>0.01</v>
      </c>
      <c r="E130" s="3" t="s">
        <v>38</v>
      </c>
      <c r="F130" s="3">
        <v>2938.154</v>
      </c>
      <c r="G130" s="3"/>
      <c r="H130" s="3"/>
      <c r="I130" s="3">
        <v>0.39</v>
      </c>
      <c r="J130" s="3"/>
    </row>
    <row r="131" spans="1:10" s="2" customFormat="1" x14ac:dyDescent="0.25">
      <c r="A131" s="3" t="s">
        <v>168</v>
      </c>
      <c r="B131" s="3" t="s">
        <v>50</v>
      </c>
      <c r="C131" s="3">
        <v>0.01</v>
      </c>
      <c r="D131" s="3">
        <v>0.01</v>
      </c>
      <c r="E131" s="3" t="s">
        <v>38</v>
      </c>
      <c r="F131" s="3">
        <v>2938.154</v>
      </c>
      <c r="G131" s="3"/>
      <c r="H131" s="3"/>
      <c r="I131" s="3">
        <v>0.39</v>
      </c>
      <c r="J131" s="3"/>
    </row>
    <row r="132" spans="1:10" s="2" customFormat="1" x14ac:dyDescent="0.25">
      <c r="A132" s="3" t="s">
        <v>169</v>
      </c>
      <c r="B132" s="3" t="s">
        <v>50</v>
      </c>
      <c r="C132" s="3">
        <v>0.01</v>
      </c>
      <c r="D132" s="3">
        <v>0.01</v>
      </c>
      <c r="E132" s="3" t="s">
        <v>38</v>
      </c>
      <c r="F132" s="3">
        <v>2936.239</v>
      </c>
      <c r="G132" s="3"/>
      <c r="H132" s="3"/>
      <c r="I132" s="3">
        <v>1.03</v>
      </c>
      <c r="J132" s="3"/>
    </row>
    <row r="133" spans="1:10" s="2" customFormat="1" x14ac:dyDescent="0.25">
      <c r="A133" s="3" t="s">
        <v>170</v>
      </c>
      <c r="B133" s="3" t="s">
        <v>50</v>
      </c>
      <c r="C133" s="3">
        <v>0.01</v>
      </c>
      <c r="D133" s="3">
        <v>0.01</v>
      </c>
      <c r="E133" s="3" t="s">
        <v>38</v>
      </c>
      <c r="F133" s="3">
        <v>2936.3330000000001</v>
      </c>
      <c r="G133" s="3"/>
      <c r="H133" s="3"/>
      <c r="I133" s="3">
        <v>0.94</v>
      </c>
      <c r="J133" s="3"/>
    </row>
    <row r="134" spans="1:10" s="2" customFormat="1" x14ac:dyDescent="0.25">
      <c r="A134" s="3" t="s">
        <v>171</v>
      </c>
      <c r="B134" s="3" t="s">
        <v>50</v>
      </c>
      <c r="C134" s="3">
        <v>0.01</v>
      </c>
      <c r="D134" s="3">
        <v>0.01</v>
      </c>
      <c r="E134" s="3" t="s">
        <v>38</v>
      </c>
      <c r="F134" s="3">
        <v>2936.6379999999999</v>
      </c>
      <c r="G134" s="3"/>
      <c r="H134" s="3"/>
      <c r="I134" s="3">
        <v>0.53</v>
      </c>
      <c r="J134" s="3"/>
    </row>
    <row r="135" spans="1:10" s="2" customFormat="1" x14ac:dyDescent="0.25">
      <c r="A135" s="3" t="s">
        <v>172</v>
      </c>
      <c r="B135" s="3" t="s">
        <v>50</v>
      </c>
      <c r="C135" s="3">
        <v>0.01</v>
      </c>
      <c r="D135" s="3">
        <v>0.01</v>
      </c>
      <c r="E135" s="3" t="s">
        <v>38</v>
      </c>
      <c r="F135" s="3">
        <v>2936.585</v>
      </c>
      <c r="G135" s="3"/>
      <c r="H135" s="3"/>
      <c r="I135" s="3">
        <v>0.57999999999999996</v>
      </c>
      <c r="J135" s="3"/>
    </row>
    <row r="136" spans="1:10" s="2" customFormat="1" x14ac:dyDescent="0.25">
      <c r="A136" s="3" t="s">
        <v>173</v>
      </c>
      <c r="B136" s="3" t="s">
        <v>50</v>
      </c>
      <c r="C136" s="3">
        <v>0.01</v>
      </c>
      <c r="D136" s="3">
        <v>0.01</v>
      </c>
      <c r="E136" s="3" t="s">
        <v>38</v>
      </c>
      <c r="F136" s="3">
        <v>2936.7489999999998</v>
      </c>
      <c r="G136" s="3"/>
      <c r="H136" s="3"/>
      <c r="I136" s="3">
        <v>0.42</v>
      </c>
      <c r="J136" s="3"/>
    </row>
    <row r="137" spans="1:10" s="2" customFormat="1" x14ac:dyDescent="0.25">
      <c r="A137" s="3" t="s">
        <v>174</v>
      </c>
      <c r="B137" s="3" t="s">
        <v>50</v>
      </c>
      <c r="C137" s="3">
        <v>0.01</v>
      </c>
      <c r="D137" s="3">
        <v>0.01</v>
      </c>
      <c r="E137" s="3" t="s">
        <v>38</v>
      </c>
      <c r="F137" s="3">
        <v>2936.7489999999998</v>
      </c>
      <c r="G137" s="3"/>
      <c r="H137" s="3"/>
      <c r="I137" s="3">
        <v>0.42</v>
      </c>
      <c r="J137" s="3"/>
    </row>
    <row r="138" spans="1:10" s="2" customFormat="1" x14ac:dyDescent="0.25">
      <c r="A138" s="3" t="s">
        <v>175</v>
      </c>
      <c r="B138" s="3" t="s">
        <v>50</v>
      </c>
      <c r="C138" s="3">
        <v>0.01</v>
      </c>
      <c r="D138" s="3">
        <v>0.01</v>
      </c>
      <c r="E138" s="3" t="s">
        <v>38</v>
      </c>
      <c r="F138" s="3">
        <v>2941.248</v>
      </c>
      <c r="G138" s="3"/>
      <c r="H138" s="3"/>
      <c r="I138" s="3">
        <v>0.23</v>
      </c>
      <c r="J138" s="3"/>
    </row>
    <row r="139" spans="1:10" s="2" customFormat="1" x14ac:dyDescent="0.25">
      <c r="A139" s="3" t="s">
        <v>176</v>
      </c>
      <c r="B139" s="3" t="s">
        <v>50</v>
      </c>
      <c r="C139" s="3">
        <v>0.01</v>
      </c>
      <c r="D139" s="3">
        <v>0.01</v>
      </c>
      <c r="E139" s="3" t="s">
        <v>38</v>
      </c>
      <c r="F139" s="3">
        <v>2941.2849999999999</v>
      </c>
      <c r="G139" s="3"/>
      <c r="H139" s="3"/>
      <c r="I139" s="3">
        <v>0.19</v>
      </c>
      <c r="J139" s="3"/>
    </row>
    <row r="140" spans="1:10" s="2" customFormat="1" x14ac:dyDescent="0.25">
      <c r="A140" s="3" t="s">
        <v>177</v>
      </c>
      <c r="B140" s="3" t="s">
        <v>50</v>
      </c>
      <c r="C140" s="3">
        <v>0.01</v>
      </c>
      <c r="D140" s="3">
        <v>0.01</v>
      </c>
      <c r="E140" s="3" t="s">
        <v>38</v>
      </c>
      <c r="F140" s="3">
        <v>2941.3119999999999</v>
      </c>
      <c r="G140" s="3"/>
      <c r="H140" s="3"/>
      <c r="I140" s="3">
        <v>0.17</v>
      </c>
      <c r="J140" s="3"/>
    </row>
    <row r="141" spans="1:10" s="2" customFormat="1" x14ac:dyDescent="0.25">
      <c r="A141" s="3" t="s">
        <v>178</v>
      </c>
      <c r="B141" s="3" t="s">
        <v>50</v>
      </c>
      <c r="C141" s="3">
        <v>0.01</v>
      </c>
      <c r="D141" s="3">
        <v>0.01</v>
      </c>
      <c r="E141" s="3" t="s">
        <v>38</v>
      </c>
      <c r="F141" s="3">
        <v>2941.3560000000002</v>
      </c>
      <c r="G141" s="3"/>
      <c r="H141" s="3"/>
      <c r="I141" s="3">
        <v>0.12</v>
      </c>
      <c r="J141" s="3"/>
    </row>
    <row r="142" spans="1:10" s="2" customFormat="1" x14ac:dyDescent="0.25">
      <c r="A142" s="3" t="s">
        <v>179</v>
      </c>
      <c r="B142" s="3" t="s">
        <v>50</v>
      </c>
      <c r="C142" s="3">
        <v>0.01</v>
      </c>
      <c r="D142" s="3">
        <v>0.01</v>
      </c>
      <c r="E142" s="3" t="s">
        <v>38</v>
      </c>
      <c r="F142" s="3">
        <v>2941.3670000000002</v>
      </c>
      <c r="G142" s="3"/>
      <c r="H142" s="3"/>
      <c r="I142" s="3">
        <v>0.11</v>
      </c>
      <c r="J142" s="3"/>
    </row>
    <row r="143" spans="1:10" s="2" customFormat="1" x14ac:dyDescent="0.25">
      <c r="A143" s="3" t="s">
        <v>180</v>
      </c>
      <c r="B143" s="3" t="s">
        <v>50</v>
      </c>
      <c r="C143" s="3">
        <v>0.01</v>
      </c>
      <c r="D143" s="3">
        <v>0.01</v>
      </c>
      <c r="E143" s="3" t="s">
        <v>38</v>
      </c>
      <c r="F143" s="3">
        <v>2941.2719999999999</v>
      </c>
      <c r="G143" s="3"/>
      <c r="H143" s="3"/>
      <c r="I143" s="3">
        <v>0.21</v>
      </c>
      <c r="J143" s="3"/>
    </row>
    <row r="144" spans="1:10" s="2" customFormat="1" x14ac:dyDescent="0.25">
      <c r="A144" s="3" t="s">
        <v>181</v>
      </c>
      <c r="B144" s="3" t="s">
        <v>37</v>
      </c>
      <c r="C144" s="3">
        <v>0.01</v>
      </c>
      <c r="D144" s="3">
        <v>0.01</v>
      </c>
      <c r="E144" s="3" t="s">
        <v>38</v>
      </c>
      <c r="F144" s="3">
        <v>2944.6129999999998</v>
      </c>
      <c r="G144" s="3"/>
      <c r="H144" s="3"/>
      <c r="I144" s="3">
        <v>-0.01</v>
      </c>
      <c r="J144" s="3"/>
    </row>
    <row r="145" spans="1:10" s="2" customFormat="1" x14ac:dyDescent="0.25">
      <c r="A145" s="3" t="s">
        <v>182</v>
      </c>
      <c r="B145" s="3" t="s">
        <v>37</v>
      </c>
      <c r="C145" s="3">
        <v>0.01</v>
      </c>
      <c r="D145" s="3">
        <v>0.01</v>
      </c>
      <c r="E145" s="3" t="s">
        <v>38</v>
      </c>
      <c r="F145" s="3">
        <v>2944.6370000000002</v>
      </c>
      <c r="G145" s="3"/>
      <c r="H145" s="3"/>
      <c r="I145" s="3">
        <v>0.02</v>
      </c>
      <c r="J145" s="3"/>
    </row>
    <row r="146" spans="1:10" s="2" customFormat="1" x14ac:dyDescent="0.25">
      <c r="A146" s="3" t="s">
        <v>183</v>
      </c>
      <c r="B146" s="3" t="s">
        <v>37</v>
      </c>
      <c r="C146" s="3">
        <v>0.01</v>
      </c>
      <c r="D146" s="3">
        <v>0.01</v>
      </c>
      <c r="E146" s="3" t="s">
        <v>38</v>
      </c>
      <c r="F146" s="3">
        <v>2944.4870000000001</v>
      </c>
      <c r="G146" s="3"/>
      <c r="H146" s="3"/>
      <c r="I146" s="3">
        <v>-0.13</v>
      </c>
      <c r="J146" s="3"/>
    </row>
    <row r="147" spans="1:10" s="2" customFormat="1" x14ac:dyDescent="0.25">
      <c r="A147" s="3" t="s">
        <v>184</v>
      </c>
      <c r="B147" s="3" t="s">
        <v>37</v>
      </c>
      <c r="C147" s="3">
        <v>0.01</v>
      </c>
      <c r="D147" s="3">
        <v>0.01</v>
      </c>
      <c r="E147" s="3" t="s">
        <v>38</v>
      </c>
      <c r="F147" s="3">
        <v>2944.6350000000002</v>
      </c>
      <c r="G147" s="3"/>
      <c r="H147" s="3"/>
      <c r="I147" s="3">
        <v>0.02</v>
      </c>
      <c r="J147" s="3"/>
    </row>
    <row r="148" spans="1:10" s="2" customFormat="1" x14ac:dyDescent="0.25">
      <c r="A148" s="3" t="s">
        <v>185</v>
      </c>
      <c r="B148" s="3" t="s">
        <v>37</v>
      </c>
      <c r="C148" s="3">
        <v>0.01</v>
      </c>
      <c r="D148" s="3">
        <v>0.01</v>
      </c>
      <c r="E148" s="3" t="s">
        <v>38</v>
      </c>
      <c r="F148" s="3">
        <v>2945.002</v>
      </c>
      <c r="G148" s="3"/>
      <c r="H148" s="3"/>
      <c r="I148" s="3">
        <v>0.38</v>
      </c>
      <c r="J148" s="3"/>
    </row>
    <row r="149" spans="1:10" s="2" customFormat="1" x14ac:dyDescent="0.25">
      <c r="A149" s="3" t="s">
        <v>186</v>
      </c>
      <c r="B149" s="3" t="s">
        <v>37</v>
      </c>
      <c r="C149" s="3">
        <v>0.01</v>
      </c>
      <c r="D149" s="3">
        <v>0.01</v>
      </c>
      <c r="E149" s="3" t="s">
        <v>38</v>
      </c>
      <c r="F149" s="3">
        <v>2944.7510000000002</v>
      </c>
      <c r="G149" s="3"/>
      <c r="H149" s="3"/>
      <c r="I149" s="3">
        <v>0.13</v>
      </c>
      <c r="J149" s="3"/>
    </row>
    <row r="150" spans="1:10" s="2" customFormat="1" x14ac:dyDescent="0.25">
      <c r="A150" s="3" t="s">
        <v>187</v>
      </c>
      <c r="B150" s="3" t="s">
        <v>37</v>
      </c>
      <c r="C150" s="3">
        <v>0.01</v>
      </c>
      <c r="D150" s="3">
        <v>0.01</v>
      </c>
      <c r="E150" s="3" t="s">
        <v>38</v>
      </c>
      <c r="F150" s="3">
        <v>2946.91</v>
      </c>
      <c r="G150" s="3"/>
      <c r="H150" s="3"/>
      <c r="I150" s="3">
        <v>0.83</v>
      </c>
      <c r="J150" s="3"/>
    </row>
    <row r="151" spans="1:10" s="2" customFormat="1" x14ac:dyDescent="0.25">
      <c r="A151" s="3" t="s">
        <v>188</v>
      </c>
      <c r="B151" s="3" t="s">
        <v>37</v>
      </c>
      <c r="C151" s="3">
        <v>0.01</v>
      </c>
      <c r="D151" s="3">
        <v>0.01</v>
      </c>
      <c r="E151" s="3" t="s">
        <v>38</v>
      </c>
      <c r="F151" s="3">
        <v>2946.893</v>
      </c>
      <c r="G151" s="3"/>
      <c r="H151" s="3"/>
      <c r="I151" s="3">
        <v>0.81</v>
      </c>
      <c r="J151" s="3"/>
    </row>
    <row r="152" spans="1:10" s="2" customFormat="1" x14ac:dyDescent="0.25">
      <c r="A152" s="3" t="s">
        <v>189</v>
      </c>
      <c r="B152" s="3" t="s">
        <v>37</v>
      </c>
      <c r="C152" s="3">
        <v>0.01</v>
      </c>
      <c r="D152" s="3">
        <v>0.01</v>
      </c>
      <c r="E152" s="3" t="s">
        <v>38</v>
      </c>
      <c r="F152" s="3">
        <v>2946.893</v>
      </c>
      <c r="G152" s="3"/>
      <c r="H152" s="3"/>
      <c r="I152" s="3">
        <v>0.88</v>
      </c>
      <c r="J152" s="3"/>
    </row>
    <row r="153" spans="1:10" s="2" customFormat="1" x14ac:dyDescent="0.25">
      <c r="A153" s="3" t="s">
        <v>190</v>
      </c>
      <c r="B153" s="3" t="s">
        <v>37</v>
      </c>
      <c r="C153" s="3">
        <v>0.01</v>
      </c>
      <c r="D153" s="3">
        <v>0.01</v>
      </c>
      <c r="E153" s="3" t="s">
        <v>38</v>
      </c>
      <c r="F153" s="3">
        <v>2946.7449999999999</v>
      </c>
      <c r="G153" s="3"/>
      <c r="H153" s="3"/>
      <c r="I153" s="3">
        <v>0.74</v>
      </c>
      <c r="J153" s="3"/>
    </row>
    <row r="154" spans="1:10" s="2" customFormat="1" x14ac:dyDescent="0.25">
      <c r="A154" s="3" t="s">
        <v>191</v>
      </c>
      <c r="B154" s="3" t="s">
        <v>37</v>
      </c>
      <c r="C154" s="3">
        <v>0.01</v>
      </c>
      <c r="D154" s="3">
        <v>0.01</v>
      </c>
      <c r="E154" s="3" t="s">
        <v>38</v>
      </c>
      <c r="F154" s="3">
        <v>2941.3110000000001</v>
      </c>
      <c r="G154" s="3"/>
      <c r="H154" s="3"/>
      <c r="I154" s="3">
        <v>0.6</v>
      </c>
      <c r="J154" s="3"/>
    </row>
    <row r="155" spans="1:10" s="2" customFormat="1" x14ac:dyDescent="0.25">
      <c r="A155" s="3" t="s">
        <v>192</v>
      </c>
      <c r="B155" s="3" t="s">
        <v>37</v>
      </c>
      <c r="C155" s="3">
        <v>0.01</v>
      </c>
      <c r="D155" s="3">
        <v>0.01</v>
      </c>
      <c r="E155" s="3" t="s">
        <v>38</v>
      </c>
      <c r="F155" s="3">
        <v>2941.1260000000002</v>
      </c>
      <c r="G155" s="3"/>
      <c r="H155" s="3"/>
      <c r="I155" s="3">
        <v>0.42</v>
      </c>
      <c r="J155" s="3"/>
    </row>
    <row r="156" spans="1:10" s="2" customFormat="1" x14ac:dyDescent="0.25">
      <c r="A156" s="3" t="s">
        <v>193</v>
      </c>
      <c r="B156" s="3" t="s">
        <v>37</v>
      </c>
      <c r="C156" s="3">
        <v>0.01</v>
      </c>
      <c r="D156" s="3">
        <v>0.01</v>
      </c>
      <c r="E156" s="3" t="s">
        <v>38</v>
      </c>
      <c r="F156" s="3">
        <v>2941.0129999999999</v>
      </c>
      <c r="G156" s="3"/>
      <c r="H156" s="3"/>
      <c r="I156" s="3">
        <v>0.3</v>
      </c>
      <c r="J156" s="3"/>
    </row>
    <row r="157" spans="1:10" s="2" customFormat="1" x14ac:dyDescent="0.25">
      <c r="A157" s="3" t="s">
        <v>194</v>
      </c>
      <c r="B157" s="3" t="s">
        <v>37</v>
      </c>
      <c r="C157" s="3">
        <v>0.01</v>
      </c>
      <c r="D157" s="3">
        <v>0.01</v>
      </c>
      <c r="E157" s="3" t="s">
        <v>38</v>
      </c>
      <c r="F157" s="3">
        <v>2940.3490000000002</v>
      </c>
      <c r="G157" s="3"/>
      <c r="H157" s="3"/>
      <c r="I157" s="3">
        <v>7.0000000000000007E-2</v>
      </c>
      <c r="J157" s="3"/>
    </row>
    <row r="158" spans="1:10" s="2" customFormat="1" x14ac:dyDescent="0.25">
      <c r="A158" s="3" t="s">
        <v>195</v>
      </c>
      <c r="B158" s="3" t="s">
        <v>37</v>
      </c>
      <c r="C158" s="3">
        <v>0.01</v>
      </c>
      <c r="D158" s="3">
        <v>0.01</v>
      </c>
      <c r="E158" s="3" t="s">
        <v>38</v>
      </c>
      <c r="F158" s="3">
        <v>2940.538</v>
      </c>
      <c r="G158" s="3"/>
      <c r="H158" s="3"/>
      <c r="I158" s="3">
        <v>0.26</v>
      </c>
      <c r="J158" s="3"/>
    </row>
    <row r="159" spans="1:10" s="2" customFormat="1" x14ac:dyDescent="0.25">
      <c r="A159" s="3" t="s">
        <v>196</v>
      </c>
      <c r="B159" s="3" t="s">
        <v>37</v>
      </c>
      <c r="C159" s="3">
        <v>0.01</v>
      </c>
      <c r="D159" s="3">
        <v>0.01</v>
      </c>
      <c r="E159" s="3" t="s">
        <v>38</v>
      </c>
      <c r="F159" s="3">
        <v>2940.444</v>
      </c>
      <c r="G159" s="3"/>
      <c r="H159" s="3"/>
      <c r="I159" s="3">
        <v>0.16</v>
      </c>
      <c r="J159" s="3"/>
    </row>
    <row r="160" spans="1:10" s="2" customFormat="1" x14ac:dyDescent="0.25">
      <c r="A160" s="3" t="s">
        <v>197</v>
      </c>
      <c r="B160" s="3" t="s">
        <v>50</v>
      </c>
      <c r="C160" s="3">
        <v>0.01</v>
      </c>
      <c r="D160" s="3">
        <v>0.01</v>
      </c>
      <c r="E160" s="3" t="s">
        <v>38</v>
      </c>
      <c r="F160" s="3">
        <v>2940.0729999999999</v>
      </c>
      <c r="G160" s="3"/>
      <c r="H160" s="3"/>
      <c r="I160" s="3">
        <v>-7.0000000000000007E-2</v>
      </c>
      <c r="J160" s="3"/>
    </row>
    <row r="161" spans="1:10" s="2" customFormat="1" x14ac:dyDescent="0.25">
      <c r="A161" s="3" t="s">
        <v>198</v>
      </c>
      <c r="B161" s="3" t="s">
        <v>50</v>
      </c>
      <c r="C161" s="3">
        <v>0.01</v>
      </c>
      <c r="D161" s="3">
        <v>0.01</v>
      </c>
      <c r="E161" s="3" t="s">
        <v>38</v>
      </c>
      <c r="F161" s="3">
        <v>2940.0619999999999</v>
      </c>
      <c r="G161" s="3"/>
      <c r="H161" s="3"/>
      <c r="I161" s="3">
        <v>-0.06</v>
      </c>
      <c r="J161" s="3"/>
    </row>
    <row r="162" spans="1:10" s="2" customFormat="1" x14ac:dyDescent="0.25">
      <c r="A162" s="3" t="s">
        <v>199</v>
      </c>
      <c r="B162" s="3" t="s">
        <v>50</v>
      </c>
      <c r="C162" s="3">
        <v>0.01</v>
      </c>
      <c r="D162" s="3">
        <v>0.01</v>
      </c>
      <c r="E162" s="3" t="s">
        <v>38</v>
      </c>
      <c r="F162" s="3">
        <v>2939.8780000000002</v>
      </c>
      <c r="G162" s="3"/>
      <c r="H162" s="3"/>
      <c r="I162" s="3">
        <v>0.12</v>
      </c>
      <c r="J162" s="3"/>
    </row>
    <row r="163" spans="1:10" s="2" customFormat="1" x14ac:dyDescent="0.25">
      <c r="A163" s="3" t="s">
        <v>200</v>
      </c>
      <c r="B163" s="3" t="s">
        <v>50</v>
      </c>
      <c r="C163" s="3">
        <v>0.01</v>
      </c>
      <c r="D163" s="3">
        <v>0.01</v>
      </c>
      <c r="E163" s="3" t="s">
        <v>38</v>
      </c>
      <c r="F163" s="3">
        <v>2940.223</v>
      </c>
      <c r="G163" s="3"/>
      <c r="H163" s="3"/>
      <c r="I163" s="3">
        <v>-1.83</v>
      </c>
      <c r="J163" s="3">
        <v>-0.11</v>
      </c>
    </row>
    <row r="164" spans="1:10" s="2" customFormat="1" x14ac:dyDescent="0.25">
      <c r="A164" s="3" t="s">
        <v>201</v>
      </c>
      <c r="B164" s="3" t="s">
        <v>50</v>
      </c>
      <c r="C164" s="3">
        <v>0.01</v>
      </c>
      <c r="D164" s="3">
        <v>0.01</v>
      </c>
      <c r="E164" s="3" t="s">
        <v>38</v>
      </c>
      <c r="F164" s="3">
        <v>2940.223</v>
      </c>
      <c r="G164" s="3"/>
      <c r="H164" s="3"/>
      <c r="I164" s="3">
        <v>-1.76</v>
      </c>
      <c r="J164" s="3">
        <v>-0.11</v>
      </c>
    </row>
    <row r="165" spans="1:10" s="2" customFormat="1" x14ac:dyDescent="0.25">
      <c r="A165" s="3" t="s">
        <v>202</v>
      </c>
      <c r="B165" s="3" t="s">
        <v>50</v>
      </c>
      <c r="C165" s="3">
        <v>0.02</v>
      </c>
      <c r="D165" s="3">
        <v>0.02</v>
      </c>
      <c r="E165" s="3" t="s">
        <v>38</v>
      </c>
      <c r="F165" s="3">
        <v>2940.723</v>
      </c>
      <c r="G165" s="3"/>
      <c r="H165" s="3"/>
      <c r="I165" s="3">
        <v>0.95</v>
      </c>
      <c r="J165" s="3"/>
    </row>
    <row r="166" spans="1:10" s="2" customFormat="1" x14ac:dyDescent="0.25">
      <c r="A166" s="3" t="s">
        <v>203</v>
      </c>
      <c r="B166" s="3" t="s">
        <v>50</v>
      </c>
      <c r="C166" s="3">
        <v>0.01</v>
      </c>
      <c r="D166" s="3">
        <v>0.01</v>
      </c>
      <c r="E166" s="3" t="s">
        <v>38</v>
      </c>
      <c r="F166" s="3">
        <v>2938.3</v>
      </c>
      <c r="G166" s="3"/>
      <c r="H166" s="3"/>
      <c r="I166" s="3">
        <v>0.17</v>
      </c>
      <c r="J166" s="3"/>
    </row>
    <row r="167" spans="1:10" s="2" customFormat="1" x14ac:dyDescent="0.25">
      <c r="A167" s="3" t="s">
        <v>204</v>
      </c>
      <c r="B167" s="3" t="s">
        <v>50</v>
      </c>
      <c r="C167" s="3">
        <v>0.01</v>
      </c>
      <c r="D167" s="3">
        <v>0.01</v>
      </c>
      <c r="E167" s="3" t="s">
        <v>38</v>
      </c>
      <c r="F167" s="3">
        <v>2938.3159999999998</v>
      </c>
      <c r="G167" s="3"/>
      <c r="H167" s="3"/>
      <c r="I167" s="3">
        <v>0.15</v>
      </c>
      <c r="J167" s="3"/>
    </row>
    <row r="168" spans="1:10" s="2" customFormat="1" x14ac:dyDescent="0.25">
      <c r="A168" s="3" t="s">
        <v>205</v>
      </c>
      <c r="B168" s="3" t="s">
        <v>50</v>
      </c>
      <c r="C168" s="3">
        <v>0.01</v>
      </c>
      <c r="D168" s="3">
        <v>0.01</v>
      </c>
      <c r="E168" s="3" t="s">
        <v>38</v>
      </c>
      <c r="F168" s="3">
        <v>2938.3760000000002</v>
      </c>
      <c r="G168" s="3"/>
      <c r="H168" s="3"/>
      <c r="I168" s="3">
        <v>0.09</v>
      </c>
      <c r="J168" s="3"/>
    </row>
    <row r="169" spans="1:10" s="2" customFormat="1" x14ac:dyDescent="0.25">
      <c r="A169" s="3" t="s">
        <v>206</v>
      </c>
      <c r="B169" s="3" t="s">
        <v>50</v>
      </c>
      <c r="C169" s="3">
        <v>0.01</v>
      </c>
      <c r="D169" s="3">
        <v>0.01</v>
      </c>
      <c r="E169" s="3" t="s">
        <v>38</v>
      </c>
      <c r="F169" s="3">
        <v>2938.3580000000002</v>
      </c>
      <c r="G169" s="3"/>
      <c r="H169" s="3"/>
      <c r="I169" s="3">
        <v>0.11</v>
      </c>
      <c r="J169" s="3"/>
    </row>
    <row r="170" spans="1:10" s="2" customFormat="1" x14ac:dyDescent="0.25">
      <c r="A170" s="3" t="s">
        <v>207</v>
      </c>
      <c r="B170" s="3" t="s">
        <v>50</v>
      </c>
      <c r="C170" s="3">
        <v>0.01</v>
      </c>
      <c r="D170" s="3">
        <v>0.01</v>
      </c>
      <c r="E170" s="3" t="s">
        <v>38</v>
      </c>
      <c r="F170" s="3">
        <v>2938.3580000000002</v>
      </c>
      <c r="G170" s="3"/>
      <c r="H170" s="3"/>
      <c r="I170" s="3">
        <v>0.11</v>
      </c>
      <c r="J170" s="3"/>
    </row>
    <row r="171" spans="1:10" s="2" customFormat="1" x14ac:dyDescent="0.25">
      <c r="A171" s="3" t="s">
        <v>208</v>
      </c>
      <c r="B171" s="3" t="s">
        <v>50</v>
      </c>
      <c r="C171" s="3">
        <v>0.01</v>
      </c>
      <c r="D171" s="3">
        <v>0.01</v>
      </c>
      <c r="E171" s="3" t="s">
        <v>38</v>
      </c>
      <c r="F171" s="3">
        <v>2938.3580000000002</v>
      </c>
      <c r="G171" s="3"/>
      <c r="H171" s="3"/>
      <c r="I171" s="3">
        <v>0.11</v>
      </c>
      <c r="J171" s="3"/>
    </row>
    <row r="172" spans="1:10" s="2" customFormat="1" x14ac:dyDescent="0.25">
      <c r="A172" s="3" t="s">
        <v>209</v>
      </c>
      <c r="B172" s="3" t="s">
        <v>50</v>
      </c>
      <c r="C172" s="3">
        <v>0.01</v>
      </c>
      <c r="D172" s="3">
        <v>0.01</v>
      </c>
      <c r="E172" s="3" t="s">
        <v>38</v>
      </c>
      <c r="F172" s="3">
        <v>2938.3580000000002</v>
      </c>
      <c r="G172" s="3"/>
      <c r="H172" s="3"/>
      <c r="I172" s="3">
        <v>0.11</v>
      </c>
      <c r="J172" s="3"/>
    </row>
    <row r="173" spans="1:10" s="2" customFormat="1" x14ac:dyDescent="0.25">
      <c r="A173" s="3" t="s">
        <v>210</v>
      </c>
      <c r="B173" s="3" t="s">
        <v>50</v>
      </c>
      <c r="C173" s="3">
        <v>0.01</v>
      </c>
      <c r="D173" s="3">
        <v>0.01</v>
      </c>
      <c r="E173" s="3" t="s">
        <v>38</v>
      </c>
      <c r="F173" s="3">
        <v>2938.4009999999998</v>
      </c>
      <c r="G173" s="3"/>
      <c r="H173" s="3"/>
      <c r="I173" s="3">
        <v>0.35</v>
      </c>
      <c r="J173" s="3"/>
    </row>
    <row r="174" spans="1:10" s="2" customFormat="1" x14ac:dyDescent="0.25">
      <c r="A174" s="3" t="s">
        <v>211</v>
      </c>
      <c r="B174" s="3" t="s">
        <v>50</v>
      </c>
      <c r="C174" s="3">
        <v>0.01</v>
      </c>
      <c r="D174" s="3">
        <v>0.01</v>
      </c>
      <c r="E174" s="3" t="s">
        <v>38</v>
      </c>
      <c r="F174" s="3">
        <v>2938.4459999999999</v>
      </c>
      <c r="G174" s="3"/>
      <c r="H174" s="3"/>
      <c r="I174" s="3">
        <v>0.3</v>
      </c>
      <c r="J174" s="3"/>
    </row>
    <row r="175" spans="1:10" s="2" customFormat="1" x14ac:dyDescent="0.25">
      <c r="A175" s="3" t="s">
        <v>212</v>
      </c>
      <c r="B175" s="3" t="s">
        <v>50</v>
      </c>
      <c r="C175" s="3">
        <v>0.01</v>
      </c>
      <c r="D175" s="3">
        <v>0.01</v>
      </c>
      <c r="E175" s="3" t="s">
        <v>38</v>
      </c>
      <c r="F175" s="3">
        <v>2938.4639999999999</v>
      </c>
      <c r="G175" s="3"/>
      <c r="H175" s="3"/>
      <c r="I175" s="3">
        <v>0.28999999999999998</v>
      </c>
      <c r="J175" s="3"/>
    </row>
    <row r="176" spans="1:10" s="2" customFormat="1" x14ac:dyDescent="0.25">
      <c r="A176" s="3" t="s">
        <v>213</v>
      </c>
      <c r="B176" s="3" t="s">
        <v>50</v>
      </c>
      <c r="C176" s="3">
        <v>0.01</v>
      </c>
      <c r="D176" s="3">
        <v>0.01</v>
      </c>
      <c r="E176" s="3" t="s">
        <v>38</v>
      </c>
      <c r="F176" s="3">
        <v>2938.4009999999998</v>
      </c>
      <c r="G176" s="3"/>
      <c r="H176" s="3"/>
      <c r="I176" s="3">
        <v>0.35</v>
      </c>
      <c r="J176" s="3"/>
    </row>
    <row r="177" spans="1:10" s="2" customFormat="1" x14ac:dyDescent="0.25">
      <c r="A177" s="3" t="s">
        <v>214</v>
      </c>
      <c r="B177" s="3" t="s">
        <v>50</v>
      </c>
      <c r="C177" s="3">
        <v>0.01</v>
      </c>
      <c r="D177" s="3">
        <v>0.01</v>
      </c>
      <c r="E177" s="3" t="s">
        <v>38</v>
      </c>
      <c r="F177" s="3">
        <v>2938.3440000000001</v>
      </c>
      <c r="G177" s="3"/>
      <c r="H177" s="3"/>
      <c r="I177" s="3">
        <v>0.41</v>
      </c>
      <c r="J177" s="3"/>
    </row>
    <row r="178" spans="1:10" s="2" customFormat="1" x14ac:dyDescent="0.25">
      <c r="A178" s="3" t="s">
        <v>215</v>
      </c>
      <c r="B178" s="3" t="s">
        <v>50</v>
      </c>
      <c r="C178" s="3">
        <v>0.01</v>
      </c>
      <c r="D178" s="3">
        <v>0.01</v>
      </c>
      <c r="E178" s="3" t="s">
        <v>38</v>
      </c>
      <c r="F178" s="3">
        <v>2938.3110000000001</v>
      </c>
      <c r="G178" s="3"/>
      <c r="H178" s="3"/>
      <c r="I178" s="3">
        <v>0.44</v>
      </c>
      <c r="J178" s="3"/>
    </row>
    <row r="179" spans="1:10" s="2" customFormat="1" x14ac:dyDescent="0.25">
      <c r="A179" s="3" t="s">
        <v>216</v>
      </c>
      <c r="B179" s="3" t="s">
        <v>50</v>
      </c>
      <c r="C179" s="3">
        <v>0.02</v>
      </c>
      <c r="D179" s="3">
        <v>0.02</v>
      </c>
      <c r="E179" s="3" t="s">
        <v>38</v>
      </c>
      <c r="F179" s="3">
        <v>2938.8069999999998</v>
      </c>
      <c r="G179" s="3"/>
      <c r="H179" s="3"/>
      <c r="I179" s="3">
        <v>0.18</v>
      </c>
      <c r="J179" s="3"/>
    </row>
    <row r="180" spans="1:10" s="2" customFormat="1" x14ac:dyDescent="0.25">
      <c r="A180" s="3" t="s">
        <v>217</v>
      </c>
      <c r="B180" s="3" t="s">
        <v>50</v>
      </c>
      <c r="C180" s="3">
        <v>0.02</v>
      </c>
      <c r="D180" s="3">
        <v>0.02</v>
      </c>
      <c r="E180" s="3" t="s">
        <v>38</v>
      </c>
      <c r="F180" s="3">
        <v>2938.8069999999998</v>
      </c>
      <c r="G180" s="3"/>
      <c r="H180" s="3"/>
      <c r="I180" s="3">
        <v>0.18</v>
      </c>
      <c r="J180" s="3"/>
    </row>
    <row r="181" spans="1:10" s="2" customFormat="1" x14ac:dyDescent="0.25">
      <c r="A181" s="3" t="s">
        <v>218</v>
      </c>
      <c r="B181" s="3" t="s">
        <v>37</v>
      </c>
      <c r="C181" s="3">
        <v>0.01</v>
      </c>
      <c r="D181" s="3">
        <v>0.01</v>
      </c>
      <c r="E181" s="3" t="s">
        <v>38</v>
      </c>
      <c r="F181" s="3">
        <v>2938.2539999999999</v>
      </c>
      <c r="G181" s="3"/>
      <c r="H181" s="3"/>
      <c r="I181" s="3">
        <v>0.31</v>
      </c>
      <c r="J181" s="3"/>
    </row>
    <row r="182" spans="1:10" s="2" customFormat="1" x14ac:dyDescent="0.25">
      <c r="A182" s="3" t="s">
        <v>219</v>
      </c>
      <c r="B182" s="3" t="s">
        <v>37</v>
      </c>
      <c r="C182" s="3">
        <v>0.01</v>
      </c>
      <c r="D182" s="3">
        <v>0.01</v>
      </c>
      <c r="E182" s="3" t="s">
        <v>38</v>
      </c>
      <c r="F182" s="3">
        <v>2938.2539999999999</v>
      </c>
      <c r="G182" s="3"/>
      <c r="H182" s="3"/>
      <c r="I182" s="3">
        <v>0.31</v>
      </c>
      <c r="J182" s="3"/>
    </row>
    <row r="183" spans="1:10" s="2" customFormat="1" x14ac:dyDescent="0.25">
      <c r="A183" s="3" t="s">
        <v>220</v>
      </c>
      <c r="B183" s="3" t="s">
        <v>37</v>
      </c>
      <c r="C183" s="3">
        <v>0.01</v>
      </c>
      <c r="D183" s="3">
        <v>0.01</v>
      </c>
      <c r="E183" s="3" t="s">
        <v>38</v>
      </c>
      <c r="F183" s="3">
        <v>2938.1840000000002</v>
      </c>
      <c r="G183" s="3"/>
      <c r="H183" s="3"/>
      <c r="I183" s="3">
        <v>0.24</v>
      </c>
      <c r="J183" s="3"/>
    </row>
    <row r="184" spans="1:10" s="2" customFormat="1" x14ac:dyDescent="0.25">
      <c r="A184" s="3" t="s">
        <v>221</v>
      </c>
      <c r="B184" s="3" t="s">
        <v>37</v>
      </c>
      <c r="C184" s="3">
        <v>0.01</v>
      </c>
      <c r="D184" s="3">
        <v>0.01</v>
      </c>
      <c r="E184" s="3" t="s">
        <v>38</v>
      </c>
      <c r="F184" s="3">
        <v>2938.1840000000002</v>
      </c>
      <c r="G184" s="3"/>
      <c r="H184" s="3"/>
      <c r="I184" s="3">
        <v>0.24</v>
      </c>
      <c r="J184" s="3"/>
    </row>
    <row r="185" spans="1:10" s="2" customFormat="1" x14ac:dyDescent="0.25">
      <c r="A185" s="3" t="s">
        <v>222</v>
      </c>
      <c r="B185" s="3" t="s">
        <v>37</v>
      </c>
      <c r="C185" s="3">
        <v>0.01</v>
      </c>
      <c r="D185" s="3">
        <v>0.01</v>
      </c>
      <c r="E185" s="3" t="s">
        <v>38</v>
      </c>
      <c r="F185" s="3">
        <v>2938.3980000000001</v>
      </c>
      <c r="G185" s="3"/>
      <c r="H185" s="3"/>
      <c r="I185" s="3">
        <v>-0.05</v>
      </c>
      <c r="J185" s="3"/>
    </row>
    <row r="186" spans="1:10" s="2" customFormat="1" x14ac:dyDescent="0.25">
      <c r="A186" s="3" t="s">
        <v>223</v>
      </c>
      <c r="B186" s="3" t="s">
        <v>37</v>
      </c>
      <c r="C186" s="3">
        <v>0.01</v>
      </c>
      <c r="D186" s="3">
        <v>0.01</v>
      </c>
      <c r="E186" s="3" t="s">
        <v>38</v>
      </c>
      <c r="F186" s="3">
        <v>2938.3980000000001</v>
      </c>
      <c r="G186" s="3"/>
      <c r="H186" s="3"/>
      <c r="I186" s="3">
        <v>-0.05</v>
      </c>
      <c r="J186" s="3"/>
    </row>
    <row r="187" spans="1:10" s="2" customFormat="1" x14ac:dyDescent="0.25">
      <c r="A187" s="3" t="s">
        <v>224</v>
      </c>
      <c r="B187" s="3" t="s">
        <v>37</v>
      </c>
      <c r="C187" s="3">
        <v>0.01</v>
      </c>
      <c r="D187" s="3">
        <v>0.01</v>
      </c>
      <c r="E187" s="3" t="s">
        <v>38</v>
      </c>
      <c r="F187" s="3">
        <v>2938.364</v>
      </c>
      <c r="G187" s="3"/>
      <c r="H187" s="3"/>
      <c r="I187" s="3">
        <v>-0.09</v>
      </c>
      <c r="J187" s="3"/>
    </row>
    <row r="188" spans="1:10" s="2" customFormat="1" x14ac:dyDescent="0.25">
      <c r="A188" s="3" t="s">
        <v>225</v>
      </c>
      <c r="B188" s="3" t="s">
        <v>37</v>
      </c>
      <c r="C188" s="3">
        <v>0.01</v>
      </c>
      <c r="D188" s="3">
        <v>0.01</v>
      </c>
      <c r="E188" s="3" t="s">
        <v>38</v>
      </c>
      <c r="F188" s="3">
        <v>2938.4360000000001</v>
      </c>
      <c r="G188" s="3"/>
      <c r="H188" s="3"/>
      <c r="I188" s="3">
        <v>-0.01</v>
      </c>
      <c r="J188" s="3"/>
    </row>
    <row r="189" spans="1:10" s="2" customFormat="1" x14ac:dyDescent="0.25">
      <c r="A189" s="3" t="s">
        <v>226</v>
      </c>
      <c r="B189" s="3" t="s">
        <v>37</v>
      </c>
      <c r="C189" s="3">
        <v>0.01</v>
      </c>
      <c r="D189" s="3">
        <v>0.01</v>
      </c>
      <c r="E189" s="3" t="s">
        <v>38</v>
      </c>
      <c r="F189" s="3">
        <v>2938.4360000000001</v>
      </c>
      <c r="G189" s="3"/>
      <c r="H189" s="3"/>
      <c r="I189" s="3">
        <v>-0.01</v>
      </c>
      <c r="J189" s="3"/>
    </row>
    <row r="190" spans="1:10" s="2" customFormat="1" x14ac:dyDescent="0.25">
      <c r="A190" s="3" t="s">
        <v>227</v>
      </c>
      <c r="B190" s="3" t="s">
        <v>50</v>
      </c>
      <c r="C190" s="3">
        <v>0.01</v>
      </c>
      <c r="D190" s="3">
        <v>0.01</v>
      </c>
      <c r="E190" s="3" t="s">
        <v>38</v>
      </c>
      <c r="F190" s="3">
        <v>2937.1759999999999</v>
      </c>
      <c r="G190" s="3"/>
      <c r="H190" s="3"/>
      <c r="I190" s="3">
        <v>0.22</v>
      </c>
      <c r="J190" s="3"/>
    </row>
    <row r="191" spans="1:10" s="2" customFormat="1" x14ac:dyDescent="0.25">
      <c r="A191" s="3" t="s">
        <v>228</v>
      </c>
      <c r="B191" s="3" t="s">
        <v>50</v>
      </c>
      <c r="C191" s="3">
        <v>0.01</v>
      </c>
      <c r="D191" s="3">
        <v>0.01</v>
      </c>
      <c r="E191" s="3" t="s">
        <v>38</v>
      </c>
      <c r="F191" s="3">
        <v>2937.1750000000002</v>
      </c>
      <c r="G191" s="3"/>
      <c r="H191" s="3"/>
      <c r="I191" s="3">
        <v>0.22</v>
      </c>
      <c r="J191" s="3"/>
    </row>
    <row r="192" spans="1:10" s="2" customFormat="1" x14ac:dyDescent="0.25">
      <c r="A192" s="3" t="s">
        <v>229</v>
      </c>
      <c r="B192" s="3" t="s">
        <v>50</v>
      </c>
      <c r="C192" s="3">
        <v>0.01</v>
      </c>
      <c r="D192" s="3">
        <v>0.01</v>
      </c>
      <c r="E192" s="3" t="s">
        <v>38</v>
      </c>
      <c r="F192" s="3">
        <v>2937.241</v>
      </c>
      <c r="G192" s="3"/>
      <c r="H192" s="3"/>
      <c r="I192" s="3">
        <v>0.16</v>
      </c>
      <c r="J192" s="3"/>
    </row>
    <row r="193" spans="1:10" s="2" customFormat="1" x14ac:dyDescent="0.25">
      <c r="A193" s="3" t="s">
        <v>230</v>
      </c>
      <c r="B193" s="3" t="s">
        <v>50</v>
      </c>
      <c r="C193" s="3">
        <v>0.01</v>
      </c>
      <c r="D193" s="3">
        <v>0.01</v>
      </c>
      <c r="E193" s="3" t="s">
        <v>38</v>
      </c>
      <c r="F193" s="3">
        <v>2937.241</v>
      </c>
      <c r="G193" s="3"/>
      <c r="H193" s="3"/>
      <c r="I193" s="3">
        <v>0.16</v>
      </c>
      <c r="J193" s="3"/>
    </row>
    <row r="194" spans="1:10" s="2" customFormat="1" x14ac:dyDescent="0.25">
      <c r="A194" s="3" t="s">
        <v>231</v>
      </c>
      <c r="B194" s="3" t="s">
        <v>37</v>
      </c>
      <c r="C194" s="3">
        <v>0.01</v>
      </c>
      <c r="D194" s="3">
        <v>0.01</v>
      </c>
      <c r="E194" s="3" t="s">
        <v>38</v>
      </c>
      <c r="F194" s="3">
        <v>2938.221</v>
      </c>
      <c r="G194" s="3"/>
      <c r="H194" s="3"/>
      <c r="I194" s="3">
        <v>0.12</v>
      </c>
      <c r="J194" s="3"/>
    </row>
    <row r="195" spans="1:10" s="2" customFormat="1" x14ac:dyDescent="0.25">
      <c r="A195" s="3" t="s">
        <v>232</v>
      </c>
      <c r="B195" s="3" t="s">
        <v>37</v>
      </c>
      <c r="C195" s="3">
        <v>0.01</v>
      </c>
      <c r="D195" s="3">
        <v>0.01</v>
      </c>
      <c r="E195" s="3" t="s">
        <v>38</v>
      </c>
      <c r="F195" s="3">
        <v>2938.221</v>
      </c>
      <c r="G195" s="3"/>
      <c r="H195" s="3"/>
      <c r="I195" s="3">
        <v>0.12</v>
      </c>
      <c r="J195" s="3"/>
    </row>
    <row r="196" spans="1:10" s="2" customFormat="1" x14ac:dyDescent="0.25">
      <c r="A196" s="3" t="s">
        <v>233</v>
      </c>
      <c r="B196" s="3" t="s">
        <v>37</v>
      </c>
      <c r="C196" s="3">
        <v>0.01</v>
      </c>
      <c r="D196" s="3">
        <v>0.01</v>
      </c>
      <c r="E196" s="3" t="s">
        <v>38</v>
      </c>
      <c r="F196" s="3">
        <v>2938.3119999999999</v>
      </c>
      <c r="G196" s="3"/>
      <c r="H196" s="3"/>
      <c r="I196" s="3">
        <v>0.21</v>
      </c>
      <c r="J196" s="3"/>
    </row>
    <row r="197" spans="1:10" s="2" customFormat="1" x14ac:dyDescent="0.25">
      <c r="A197" s="3" t="s">
        <v>234</v>
      </c>
      <c r="B197" s="3" t="s">
        <v>37</v>
      </c>
      <c r="C197" s="3">
        <v>0.01</v>
      </c>
      <c r="D197" s="3">
        <v>0.01</v>
      </c>
      <c r="E197" s="3" t="s">
        <v>38</v>
      </c>
      <c r="F197" s="3">
        <v>2938.3119999999999</v>
      </c>
      <c r="G197" s="3"/>
      <c r="H197" s="3"/>
      <c r="I197" s="3">
        <v>0.21</v>
      </c>
      <c r="J197" s="3"/>
    </row>
    <row r="198" spans="1:10" s="2" customFormat="1" x14ac:dyDescent="0.25">
      <c r="A198" s="3" t="s">
        <v>235</v>
      </c>
      <c r="B198" s="3" t="s">
        <v>37</v>
      </c>
      <c r="C198" s="3">
        <v>0.01</v>
      </c>
      <c r="D198" s="3">
        <v>0.01</v>
      </c>
      <c r="E198" s="3" t="s">
        <v>38</v>
      </c>
      <c r="F198" s="3">
        <v>2939.1930000000002</v>
      </c>
      <c r="G198" s="3"/>
      <c r="H198" s="3"/>
      <c r="I198" s="3">
        <v>0.28999999999999998</v>
      </c>
      <c r="J198" s="3"/>
    </row>
    <row r="199" spans="1:10" s="2" customFormat="1" x14ac:dyDescent="0.25">
      <c r="A199" s="3" t="s">
        <v>236</v>
      </c>
      <c r="B199" s="3" t="s">
        <v>37</v>
      </c>
      <c r="C199" s="3">
        <v>0.01</v>
      </c>
      <c r="D199" s="3">
        <v>0.01</v>
      </c>
      <c r="E199" s="3" t="s">
        <v>38</v>
      </c>
      <c r="F199" s="3">
        <v>2939.28</v>
      </c>
      <c r="G199" s="3"/>
      <c r="H199" s="3"/>
      <c r="I199" s="3">
        <v>0.38</v>
      </c>
      <c r="J199" s="3"/>
    </row>
    <row r="200" spans="1:10" s="2" customFormat="1" x14ac:dyDescent="0.25">
      <c r="A200" s="3" t="s">
        <v>237</v>
      </c>
      <c r="B200" s="3" t="s">
        <v>37</v>
      </c>
      <c r="C200" s="3">
        <v>0.01</v>
      </c>
      <c r="D200" s="3">
        <v>0.01</v>
      </c>
      <c r="E200" s="3" t="s">
        <v>38</v>
      </c>
      <c r="F200" s="3">
        <v>2939.28</v>
      </c>
      <c r="G200" s="3"/>
      <c r="H200" s="3"/>
      <c r="I200" s="3">
        <v>0.38</v>
      </c>
      <c r="J200" s="3"/>
    </row>
    <row r="201" spans="1:10" s="2" customFormat="1" x14ac:dyDescent="0.25">
      <c r="A201" s="3" t="s">
        <v>238</v>
      </c>
      <c r="B201" s="3" t="s">
        <v>37</v>
      </c>
      <c r="C201" s="3">
        <v>0.01</v>
      </c>
      <c r="D201" s="3">
        <v>0.01</v>
      </c>
      <c r="E201" s="3" t="s">
        <v>38</v>
      </c>
      <c r="F201" s="3">
        <v>2939.1660000000002</v>
      </c>
      <c r="G201" s="3"/>
      <c r="H201" s="3"/>
      <c r="I201" s="3">
        <v>0.03</v>
      </c>
      <c r="J201" s="3"/>
    </row>
    <row r="202" spans="1:10" s="2" customFormat="1" x14ac:dyDescent="0.25">
      <c r="A202" s="3" t="s">
        <v>239</v>
      </c>
      <c r="B202" s="3" t="s">
        <v>37</v>
      </c>
      <c r="C202" s="3">
        <v>0.01</v>
      </c>
      <c r="D202" s="3">
        <v>0.01</v>
      </c>
      <c r="E202" s="3" t="s">
        <v>38</v>
      </c>
      <c r="F202" s="3">
        <v>2939.181</v>
      </c>
      <c r="G202" s="3"/>
      <c r="H202" s="3"/>
      <c r="I202" s="3">
        <v>0.04</v>
      </c>
      <c r="J202" s="3"/>
    </row>
    <row r="203" spans="1:10" s="2" customFormat="1" x14ac:dyDescent="0.25">
      <c r="A203" s="3" t="s">
        <v>240</v>
      </c>
      <c r="B203" s="3" t="s">
        <v>37</v>
      </c>
      <c r="C203" s="3">
        <v>0.01</v>
      </c>
      <c r="D203" s="3">
        <v>0.01</v>
      </c>
      <c r="E203" s="3" t="s">
        <v>38</v>
      </c>
      <c r="F203" s="3">
        <v>2939.1309999999999</v>
      </c>
      <c r="G203" s="3"/>
      <c r="H203" s="3"/>
      <c r="I203" s="3">
        <v>-0.01</v>
      </c>
      <c r="J203" s="3"/>
    </row>
    <row r="204" spans="1:10" s="2" customFormat="1" x14ac:dyDescent="0.25">
      <c r="A204" s="3" t="s">
        <v>241</v>
      </c>
      <c r="B204" s="3" t="s">
        <v>37</v>
      </c>
      <c r="C204" s="3">
        <v>0.01</v>
      </c>
      <c r="D204" s="3">
        <v>0.01</v>
      </c>
      <c r="E204" s="3" t="s">
        <v>38</v>
      </c>
      <c r="F204" s="3">
        <v>2937.3980000000001</v>
      </c>
      <c r="G204" s="3"/>
      <c r="H204" s="3"/>
      <c r="I204" s="3">
        <v>7.0000000000000007E-2</v>
      </c>
      <c r="J204" s="3"/>
    </row>
    <row r="205" spans="1:10" s="2" customFormat="1" x14ac:dyDescent="0.25">
      <c r="A205" s="3" t="s">
        <v>242</v>
      </c>
      <c r="B205" s="3" t="s">
        <v>37</v>
      </c>
      <c r="C205" s="3">
        <v>0.01</v>
      </c>
      <c r="D205" s="3">
        <v>0.01</v>
      </c>
      <c r="E205" s="3" t="s">
        <v>38</v>
      </c>
      <c r="F205" s="3">
        <v>2937.3980000000001</v>
      </c>
      <c r="G205" s="3"/>
      <c r="H205" s="3"/>
      <c r="I205" s="3">
        <v>7.0000000000000007E-2</v>
      </c>
      <c r="J205" s="3"/>
    </row>
    <row r="206" spans="1:10" s="2" customFormat="1" x14ac:dyDescent="0.25">
      <c r="A206" s="3" t="s">
        <v>243</v>
      </c>
      <c r="B206" s="3" t="s">
        <v>37</v>
      </c>
      <c r="C206" s="3">
        <v>0.01</v>
      </c>
      <c r="D206" s="3">
        <v>0.01</v>
      </c>
      <c r="E206" s="3" t="s">
        <v>38</v>
      </c>
      <c r="F206" s="3">
        <v>2937.3980000000001</v>
      </c>
      <c r="G206" s="3"/>
      <c r="H206" s="3"/>
      <c r="I206" s="3">
        <v>7.0000000000000007E-2</v>
      </c>
      <c r="J206" s="3"/>
    </row>
    <row r="207" spans="1:10" s="2" customFormat="1" x14ac:dyDescent="0.25">
      <c r="A207" s="3" t="s">
        <v>244</v>
      </c>
      <c r="B207" s="3" t="s">
        <v>37</v>
      </c>
      <c r="C207" s="3">
        <v>0.01</v>
      </c>
      <c r="D207" s="3">
        <v>0.01</v>
      </c>
      <c r="E207" s="3" t="s">
        <v>38</v>
      </c>
      <c r="F207" s="3">
        <v>2939.5410000000002</v>
      </c>
      <c r="G207" s="3"/>
      <c r="H207" s="3"/>
      <c r="I207" s="3">
        <v>0.12</v>
      </c>
      <c r="J207" s="3"/>
    </row>
    <row r="208" spans="1:10" s="2" customFormat="1" x14ac:dyDescent="0.25">
      <c r="A208" s="3" t="s">
        <v>245</v>
      </c>
      <c r="B208" s="3" t="s">
        <v>37</v>
      </c>
      <c r="C208" s="3">
        <v>0.01</v>
      </c>
      <c r="D208" s="3">
        <v>0.01</v>
      </c>
      <c r="E208" s="3" t="s">
        <v>38</v>
      </c>
      <c r="F208" s="3">
        <v>2939.46</v>
      </c>
      <c r="G208" s="3"/>
      <c r="H208" s="3"/>
      <c r="I208" s="3">
        <v>0.04</v>
      </c>
      <c r="J208" s="3"/>
    </row>
    <row r="209" spans="1:10" s="2" customFormat="1" x14ac:dyDescent="0.25">
      <c r="A209" s="3" t="s">
        <v>246</v>
      </c>
      <c r="B209" s="3" t="s">
        <v>37</v>
      </c>
      <c r="C209" s="3">
        <v>0.01</v>
      </c>
      <c r="D209" s="3">
        <v>0.01</v>
      </c>
      <c r="E209" s="3" t="s">
        <v>38</v>
      </c>
      <c r="F209" s="3">
        <v>2939.4650000000001</v>
      </c>
      <c r="G209" s="3"/>
      <c r="H209" s="3"/>
      <c r="I209" s="3">
        <v>0.05</v>
      </c>
      <c r="J209" s="3"/>
    </row>
    <row r="210" spans="1:10" s="2" customFormat="1" x14ac:dyDescent="0.25">
      <c r="A210" s="3" t="s">
        <v>247</v>
      </c>
      <c r="B210" s="3" t="s">
        <v>37</v>
      </c>
      <c r="C210" s="3">
        <v>0.01</v>
      </c>
      <c r="D210" s="3">
        <v>0.01</v>
      </c>
      <c r="E210" s="3" t="s">
        <v>38</v>
      </c>
      <c r="F210" s="3">
        <v>2939.5059999999999</v>
      </c>
      <c r="G210" s="3"/>
      <c r="H210" s="3"/>
      <c r="I210" s="3">
        <v>0.09</v>
      </c>
      <c r="J210" s="3"/>
    </row>
    <row r="211" spans="1:10" s="2" customFormat="1" x14ac:dyDescent="0.25">
      <c r="A211" s="3" t="s">
        <v>248</v>
      </c>
      <c r="B211" s="3" t="s">
        <v>37</v>
      </c>
      <c r="C211" s="3">
        <v>0.01</v>
      </c>
      <c r="D211" s="3">
        <v>0.01</v>
      </c>
      <c r="E211" s="3" t="s">
        <v>38</v>
      </c>
      <c r="F211" s="3">
        <v>2939.6390000000001</v>
      </c>
      <c r="G211" s="3"/>
      <c r="H211" s="3"/>
      <c r="I211" s="3">
        <v>0.22</v>
      </c>
      <c r="J211" s="3"/>
    </row>
    <row r="212" spans="1:10" s="2" customFormat="1" x14ac:dyDescent="0.25">
      <c r="A212" s="3" t="s">
        <v>249</v>
      </c>
      <c r="B212" s="3" t="s">
        <v>37</v>
      </c>
      <c r="C212" s="3">
        <v>0.01</v>
      </c>
      <c r="D212" s="3">
        <v>0.01</v>
      </c>
      <c r="E212" s="3" t="s">
        <v>38</v>
      </c>
      <c r="F212" s="3">
        <v>2939.6390000000001</v>
      </c>
      <c r="G212" s="3"/>
      <c r="H212" s="3"/>
      <c r="I212" s="3">
        <v>0.22</v>
      </c>
      <c r="J212" s="3"/>
    </row>
    <row r="213" spans="1:10" s="2" customFormat="1" x14ac:dyDescent="0.25">
      <c r="A213" s="3" t="s">
        <v>250</v>
      </c>
      <c r="B213" s="3" t="s">
        <v>37</v>
      </c>
      <c r="C213" s="3">
        <v>0.01</v>
      </c>
      <c r="D213" s="3">
        <v>0.01</v>
      </c>
      <c r="E213" s="3" t="s">
        <v>38</v>
      </c>
      <c r="F213" s="3">
        <v>2939.163</v>
      </c>
      <c r="G213" s="3"/>
      <c r="H213" s="3"/>
      <c r="I213" s="3">
        <v>0.01</v>
      </c>
      <c r="J213" s="3"/>
    </row>
    <row r="214" spans="1:10" s="2" customFormat="1" x14ac:dyDescent="0.25">
      <c r="A214" s="3" t="s">
        <v>251</v>
      </c>
      <c r="B214" s="3" t="s">
        <v>37</v>
      </c>
      <c r="C214" s="3">
        <v>0.01</v>
      </c>
      <c r="D214" s="3">
        <v>0.01</v>
      </c>
      <c r="E214" s="3" t="s">
        <v>38</v>
      </c>
      <c r="F214" s="3">
        <v>2939.3040000000001</v>
      </c>
      <c r="G214" s="3"/>
      <c r="H214" s="3"/>
      <c r="I214" s="3">
        <v>0.15</v>
      </c>
      <c r="J214" s="3"/>
    </row>
    <row r="215" spans="1:10" s="2" customFormat="1" x14ac:dyDescent="0.25">
      <c r="A215" s="3" t="s">
        <v>252</v>
      </c>
      <c r="B215" s="3" t="s">
        <v>37</v>
      </c>
      <c r="C215" s="3">
        <v>0.01</v>
      </c>
      <c r="D215" s="3">
        <v>0.01</v>
      </c>
      <c r="E215" s="3" t="s">
        <v>38</v>
      </c>
      <c r="F215" s="3">
        <v>2939.2190000000001</v>
      </c>
      <c r="G215" s="3"/>
      <c r="H215" s="3"/>
      <c r="I215" s="3">
        <v>7.0000000000000007E-2</v>
      </c>
      <c r="J215" s="3"/>
    </row>
    <row r="216" spans="1:10" s="2" customFormat="1" x14ac:dyDescent="0.25">
      <c r="A216" s="3" t="s">
        <v>253</v>
      </c>
      <c r="B216" s="3" t="s">
        <v>37</v>
      </c>
      <c r="C216" s="3">
        <v>0.01</v>
      </c>
      <c r="D216" s="3">
        <v>0.01</v>
      </c>
      <c r="E216" s="3" t="s">
        <v>38</v>
      </c>
      <c r="F216" s="3">
        <v>2939.3029999999999</v>
      </c>
      <c r="G216" s="3"/>
      <c r="H216" s="3"/>
      <c r="I216" s="3">
        <v>0.15</v>
      </c>
      <c r="J216" s="3"/>
    </row>
    <row r="217" spans="1:10" s="2" customFormat="1" x14ac:dyDescent="0.25">
      <c r="A217" s="3" t="s">
        <v>254</v>
      </c>
      <c r="B217" s="3" t="s">
        <v>37</v>
      </c>
      <c r="C217" s="3">
        <v>0.01</v>
      </c>
      <c r="D217" s="3">
        <v>0.01</v>
      </c>
      <c r="E217" s="3" t="s">
        <v>38</v>
      </c>
      <c r="F217" s="3">
        <v>2939.3029999999999</v>
      </c>
      <c r="G217" s="3"/>
      <c r="H217" s="3"/>
      <c r="I217" s="3">
        <v>0.15</v>
      </c>
      <c r="J217" s="3"/>
    </row>
    <row r="218" spans="1:10" s="2" customFormat="1" x14ac:dyDescent="0.25">
      <c r="A218" s="3" t="s">
        <v>255</v>
      </c>
      <c r="B218" s="3" t="s">
        <v>37</v>
      </c>
      <c r="C218" s="3">
        <v>0.01</v>
      </c>
      <c r="D218" s="3">
        <v>0.01</v>
      </c>
      <c r="E218" s="3" t="s">
        <v>38</v>
      </c>
      <c r="F218" s="3">
        <v>2939.3009999999999</v>
      </c>
      <c r="G218" s="3"/>
      <c r="H218" s="3"/>
      <c r="I218" s="3">
        <v>0.15</v>
      </c>
      <c r="J218" s="3"/>
    </row>
    <row r="219" spans="1:10" s="2" customFormat="1" x14ac:dyDescent="0.25">
      <c r="A219" s="3" t="s">
        <v>256</v>
      </c>
      <c r="B219" s="3" t="s">
        <v>37</v>
      </c>
      <c r="C219" s="3">
        <v>0.01</v>
      </c>
      <c r="D219" s="3">
        <v>0.01</v>
      </c>
      <c r="E219" s="3" t="s">
        <v>38</v>
      </c>
      <c r="F219" s="3">
        <v>2940.6280000000002</v>
      </c>
      <c r="G219" s="3"/>
      <c r="H219" s="3"/>
      <c r="I219" s="3">
        <v>0.2</v>
      </c>
      <c r="J219" s="3"/>
    </row>
    <row r="220" spans="1:10" s="2" customFormat="1" x14ac:dyDescent="0.25">
      <c r="A220" s="3" t="s">
        <v>257</v>
      </c>
      <c r="B220" s="3" t="s">
        <v>37</v>
      </c>
      <c r="C220" s="3">
        <v>0.01</v>
      </c>
      <c r="D220" s="3">
        <v>0.01</v>
      </c>
      <c r="E220" s="3" t="s">
        <v>38</v>
      </c>
      <c r="F220" s="3">
        <v>2940.6280000000002</v>
      </c>
      <c r="G220" s="3"/>
      <c r="H220" s="3"/>
      <c r="I220" s="3">
        <v>0.2</v>
      </c>
      <c r="J220" s="3"/>
    </row>
    <row r="221" spans="1:10" s="2" customFormat="1" x14ac:dyDescent="0.25">
      <c r="A221" s="3" t="s">
        <v>258</v>
      </c>
      <c r="B221" s="3" t="s">
        <v>37</v>
      </c>
      <c r="C221" s="3">
        <v>0.01</v>
      </c>
      <c r="D221" s="3">
        <v>0.01</v>
      </c>
      <c r="E221" s="3" t="s">
        <v>38</v>
      </c>
      <c r="F221" s="3">
        <v>2940.6280000000002</v>
      </c>
      <c r="G221" s="3"/>
      <c r="H221" s="3"/>
      <c r="I221" s="3">
        <v>0.2</v>
      </c>
      <c r="J221" s="3"/>
    </row>
    <row r="222" spans="1:10" s="2" customFormat="1" x14ac:dyDescent="0.25">
      <c r="A222" s="3" t="s">
        <v>259</v>
      </c>
      <c r="B222" s="3" t="s">
        <v>37</v>
      </c>
      <c r="C222" s="3">
        <v>0.01</v>
      </c>
      <c r="D222" s="3">
        <v>0.01</v>
      </c>
      <c r="E222" s="3" t="s">
        <v>38</v>
      </c>
      <c r="F222" s="3">
        <v>2940.6280000000002</v>
      </c>
      <c r="G222" s="3"/>
      <c r="H222" s="3"/>
      <c r="I222" s="3">
        <v>0.2</v>
      </c>
      <c r="J222" s="3"/>
    </row>
    <row r="223" spans="1:10" s="2" customFormat="1" x14ac:dyDescent="0.25">
      <c r="A223" s="3" t="s">
        <v>260</v>
      </c>
      <c r="B223" s="3" t="s">
        <v>37</v>
      </c>
      <c r="C223" s="3">
        <v>0.01</v>
      </c>
      <c r="D223" s="3">
        <v>0.01</v>
      </c>
      <c r="E223" s="3" t="s">
        <v>38</v>
      </c>
      <c r="F223" s="3">
        <v>2940.6280000000002</v>
      </c>
      <c r="G223" s="3"/>
      <c r="H223" s="3"/>
      <c r="I223" s="3">
        <v>0.2</v>
      </c>
      <c r="J223" s="3"/>
    </row>
    <row r="224" spans="1:10" s="2" customFormat="1" x14ac:dyDescent="0.25">
      <c r="A224" s="3" t="s">
        <v>261</v>
      </c>
      <c r="B224" s="3" t="s">
        <v>37</v>
      </c>
      <c r="C224" s="3">
        <v>0.01</v>
      </c>
      <c r="D224" s="3">
        <v>0.01</v>
      </c>
      <c r="E224" s="3" t="s">
        <v>38</v>
      </c>
      <c r="F224" s="3">
        <v>2931.16</v>
      </c>
      <c r="G224" s="3"/>
      <c r="H224" s="3"/>
      <c r="I224" s="3">
        <v>0.2</v>
      </c>
      <c r="J224" s="3"/>
    </row>
    <row r="225" spans="1:10" s="2" customFormat="1" x14ac:dyDescent="0.25">
      <c r="A225" s="3" t="s">
        <v>262</v>
      </c>
      <c r="B225" s="3" t="s">
        <v>37</v>
      </c>
      <c r="C225" s="3">
        <v>0.01</v>
      </c>
      <c r="D225" s="3">
        <v>0.01</v>
      </c>
      <c r="E225" s="3" t="s">
        <v>38</v>
      </c>
      <c r="F225" s="3">
        <v>2931.364</v>
      </c>
      <c r="G225" s="3"/>
      <c r="H225" s="3"/>
      <c r="I225" s="3">
        <v>0.4</v>
      </c>
      <c r="J225" s="3"/>
    </row>
    <row r="226" spans="1:10" s="2" customFormat="1" x14ac:dyDescent="0.25">
      <c r="A226" s="3" t="s">
        <v>263</v>
      </c>
      <c r="B226" s="3" t="s">
        <v>37</v>
      </c>
      <c r="C226" s="3">
        <v>0.01</v>
      </c>
      <c r="D226" s="3">
        <v>0.01</v>
      </c>
      <c r="E226" s="3" t="s">
        <v>38</v>
      </c>
      <c r="F226" s="3">
        <v>2931.16</v>
      </c>
      <c r="G226" s="3"/>
      <c r="H226" s="3"/>
      <c r="I226" s="3">
        <v>0.2</v>
      </c>
      <c r="J226" s="3"/>
    </row>
    <row r="227" spans="1:10" s="2" customFormat="1" x14ac:dyDescent="0.25">
      <c r="A227" s="3" t="s">
        <v>264</v>
      </c>
      <c r="B227" s="3" t="s">
        <v>37</v>
      </c>
      <c r="C227" s="3">
        <v>0.01</v>
      </c>
      <c r="D227" s="3">
        <v>0.01</v>
      </c>
      <c r="E227" s="3" t="s">
        <v>38</v>
      </c>
      <c r="F227" s="3">
        <v>2931.3620000000001</v>
      </c>
      <c r="G227" s="3"/>
      <c r="H227" s="3"/>
      <c r="I227" s="3">
        <v>0.4</v>
      </c>
      <c r="J227" s="3"/>
    </row>
    <row r="228" spans="1:10" s="2" customFormat="1" x14ac:dyDescent="0.25">
      <c r="A228" s="3" t="s">
        <v>265</v>
      </c>
      <c r="B228" s="3" t="s">
        <v>37</v>
      </c>
      <c r="C228" s="3">
        <v>0.01</v>
      </c>
      <c r="D228" s="3">
        <v>0.01</v>
      </c>
      <c r="E228" s="3" t="s">
        <v>38</v>
      </c>
      <c r="F228" s="3">
        <v>2931.7240000000002</v>
      </c>
      <c r="G228" s="3"/>
      <c r="H228" s="3"/>
      <c r="I228" s="3">
        <v>0.13</v>
      </c>
      <c r="J228" s="3"/>
    </row>
    <row r="229" spans="1:10" s="2" customFormat="1" x14ac:dyDescent="0.25">
      <c r="A229" s="3" t="s">
        <v>266</v>
      </c>
      <c r="B229" s="3" t="s">
        <v>37</v>
      </c>
      <c r="C229" s="3">
        <v>0.01</v>
      </c>
      <c r="D229" s="3">
        <v>0.01</v>
      </c>
      <c r="E229" s="3" t="s">
        <v>38</v>
      </c>
      <c r="F229" s="3">
        <v>2931.7240000000002</v>
      </c>
      <c r="G229" s="3"/>
      <c r="H229" s="3"/>
      <c r="I229" s="3">
        <v>0.13</v>
      </c>
      <c r="J229" s="3"/>
    </row>
    <row r="230" spans="1:10" s="2" customFormat="1" x14ac:dyDescent="0.25">
      <c r="A230" s="3" t="s">
        <v>267</v>
      </c>
      <c r="B230" s="3" t="s">
        <v>37</v>
      </c>
      <c r="C230" s="3">
        <v>0.01</v>
      </c>
      <c r="D230" s="3">
        <v>0.01</v>
      </c>
      <c r="E230" s="3" t="s">
        <v>38</v>
      </c>
      <c r="F230" s="3">
        <v>2931.703</v>
      </c>
      <c r="G230" s="3"/>
      <c r="H230" s="3"/>
      <c r="I230" s="3">
        <v>0.11</v>
      </c>
      <c r="J230" s="3"/>
    </row>
    <row r="231" spans="1:10" s="2" customFormat="1" x14ac:dyDescent="0.25">
      <c r="A231" s="3" t="s">
        <v>268</v>
      </c>
      <c r="B231" s="3" t="s">
        <v>37</v>
      </c>
      <c r="C231" s="3">
        <v>0.01</v>
      </c>
      <c r="D231" s="3">
        <v>0.01</v>
      </c>
      <c r="E231" s="3" t="s">
        <v>38</v>
      </c>
      <c r="F231" s="3">
        <v>2931.703</v>
      </c>
      <c r="G231" s="3"/>
      <c r="H231" s="3"/>
      <c r="I231" s="3">
        <v>0.11</v>
      </c>
      <c r="J231" s="3"/>
    </row>
    <row r="232" spans="1:10" s="2" customFormat="1" x14ac:dyDescent="0.25">
      <c r="A232" s="3" t="s">
        <v>269</v>
      </c>
      <c r="B232" s="3" t="s">
        <v>50</v>
      </c>
      <c r="C232" s="3">
        <v>0.01</v>
      </c>
      <c r="D232" s="3">
        <v>0.01</v>
      </c>
      <c r="E232" s="3" t="s">
        <v>38</v>
      </c>
      <c r="F232" s="3">
        <v>2931.5410000000002</v>
      </c>
      <c r="G232" s="3"/>
      <c r="H232" s="3"/>
      <c r="I232" s="3">
        <v>0.2</v>
      </c>
      <c r="J232" s="3"/>
    </row>
    <row r="233" spans="1:10" s="2" customFormat="1" x14ac:dyDescent="0.25">
      <c r="A233" s="3" t="s">
        <v>270</v>
      </c>
      <c r="B233" s="3" t="s">
        <v>50</v>
      </c>
      <c r="C233" s="3">
        <v>0.01</v>
      </c>
      <c r="D233" s="3">
        <v>0.01</v>
      </c>
      <c r="E233" s="3" t="s">
        <v>38</v>
      </c>
      <c r="F233" s="3">
        <v>2931.578</v>
      </c>
      <c r="G233" s="3"/>
      <c r="H233" s="3"/>
      <c r="I233" s="3">
        <v>0.16</v>
      </c>
      <c r="J233" s="3"/>
    </row>
    <row r="234" spans="1:10" s="2" customFormat="1" x14ac:dyDescent="0.25">
      <c r="A234" s="3" t="s">
        <v>271</v>
      </c>
      <c r="B234" s="3" t="s">
        <v>50</v>
      </c>
      <c r="C234" s="3">
        <v>0.01</v>
      </c>
      <c r="D234" s="3">
        <v>0.01</v>
      </c>
      <c r="E234" s="3" t="s">
        <v>38</v>
      </c>
      <c r="F234" s="3">
        <v>2931.6010000000001</v>
      </c>
      <c r="G234" s="3"/>
      <c r="H234" s="3"/>
      <c r="I234" s="3">
        <v>0.14000000000000001</v>
      </c>
      <c r="J234" s="3"/>
    </row>
    <row r="235" spans="1:10" s="2" customFormat="1" x14ac:dyDescent="0.25">
      <c r="A235" s="3" t="s">
        <v>272</v>
      </c>
      <c r="B235" s="3" t="s">
        <v>37</v>
      </c>
      <c r="C235" s="3">
        <v>0.01</v>
      </c>
      <c r="D235" s="3">
        <v>0.01</v>
      </c>
      <c r="E235" s="3" t="s">
        <v>38</v>
      </c>
      <c r="F235" s="3">
        <v>2930.0349999999999</v>
      </c>
      <c r="G235" s="3"/>
      <c r="H235" s="3"/>
      <c r="I235" s="3">
        <v>0.24</v>
      </c>
      <c r="J235" s="3"/>
    </row>
    <row r="236" spans="1:10" s="2" customFormat="1" x14ac:dyDescent="0.25">
      <c r="A236" s="3" t="s">
        <v>273</v>
      </c>
      <c r="B236" s="3" t="s">
        <v>37</v>
      </c>
      <c r="C236" s="3">
        <v>0.01</v>
      </c>
      <c r="D236" s="3">
        <v>0.01</v>
      </c>
      <c r="E236" s="3" t="s">
        <v>38</v>
      </c>
      <c r="F236" s="3">
        <v>2930.0529999999999</v>
      </c>
      <c r="G236" s="3"/>
      <c r="H236" s="3"/>
      <c r="I236" s="3">
        <v>0.25</v>
      </c>
      <c r="J236" s="3"/>
    </row>
    <row r="237" spans="1:10" s="2" customFormat="1" x14ac:dyDescent="0.25">
      <c r="A237" s="3" t="s">
        <v>274</v>
      </c>
      <c r="B237" s="3" t="s">
        <v>37</v>
      </c>
      <c r="C237" s="3">
        <v>0.01</v>
      </c>
      <c r="D237" s="3">
        <v>0.01</v>
      </c>
      <c r="E237" s="3" t="s">
        <v>38</v>
      </c>
      <c r="F237" s="3">
        <v>2930.0529999999999</v>
      </c>
      <c r="G237" s="3"/>
      <c r="H237" s="3"/>
      <c r="I237" s="3">
        <v>0.25</v>
      </c>
      <c r="J237" s="3"/>
    </row>
    <row r="238" spans="1:10" s="2" customFormat="1" x14ac:dyDescent="0.25">
      <c r="A238" s="3" t="s">
        <v>275</v>
      </c>
      <c r="B238" s="3" t="s">
        <v>50</v>
      </c>
      <c r="C238" s="3">
        <v>0.01</v>
      </c>
      <c r="D238" s="3">
        <v>0.01</v>
      </c>
      <c r="E238" s="3" t="s">
        <v>38</v>
      </c>
      <c r="F238" s="3">
        <v>2944.4760000000001</v>
      </c>
      <c r="G238" s="3"/>
      <c r="H238" s="3"/>
      <c r="I238" s="3">
        <v>0.11</v>
      </c>
      <c r="J238" s="3"/>
    </row>
    <row r="239" spans="1:10" s="2" customFormat="1" x14ac:dyDescent="0.25">
      <c r="A239" s="3" t="s">
        <v>276</v>
      </c>
      <c r="B239" s="3" t="s">
        <v>50</v>
      </c>
      <c r="C239" s="3">
        <v>0.01</v>
      </c>
      <c r="D239" s="3">
        <v>0.01</v>
      </c>
      <c r="E239" s="3" t="s">
        <v>38</v>
      </c>
      <c r="F239" s="3">
        <v>2944.5439999999999</v>
      </c>
      <c r="G239" s="3"/>
      <c r="H239" s="3"/>
      <c r="I239" s="3">
        <v>0.05</v>
      </c>
      <c r="J239" s="3"/>
    </row>
    <row r="240" spans="1:10" s="2" customFormat="1" x14ac:dyDescent="0.25">
      <c r="A240" s="3" t="s">
        <v>277</v>
      </c>
      <c r="B240" s="3" t="s">
        <v>50</v>
      </c>
      <c r="C240" s="3">
        <v>0.01</v>
      </c>
      <c r="D240" s="3">
        <v>0.01</v>
      </c>
      <c r="E240" s="3" t="s">
        <v>38</v>
      </c>
      <c r="F240" s="3">
        <v>2944.5909999999999</v>
      </c>
      <c r="G240" s="3"/>
      <c r="H240" s="3"/>
      <c r="I240" s="3">
        <v>0</v>
      </c>
      <c r="J240" s="3"/>
    </row>
    <row r="241" spans="1:10" s="2" customFormat="1" x14ac:dyDescent="0.25">
      <c r="A241" s="3" t="s">
        <v>278</v>
      </c>
      <c r="B241" s="3" t="s">
        <v>50</v>
      </c>
      <c r="C241" s="3">
        <v>0.01</v>
      </c>
      <c r="D241" s="3">
        <v>0.01</v>
      </c>
      <c r="E241" s="3" t="s">
        <v>38</v>
      </c>
      <c r="F241" s="3">
        <v>2944.6370000000002</v>
      </c>
      <c r="G241" s="3"/>
      <c r="H241" s="3"/>
      <c r="I241" s="3">
        <v>-0.05</v>
      </c>
      <c r="J241" s="3"/>
    </row>
    <row r="242" spans="1:10" s="2" customFormat="1" x14ac:dyDescent="0.25">
      <c r="A242" s="3" t="s">
        <v>279</v>
      </c>
      <c r="B242" s="3" t="s">
        <v>50</v>
      </c>
      <c r="C242" s="3">
        <v>0.01</v>
      </c>
      <c r="D242" s="3">
        <v>0.01</v>
      </c>
      <c r="E242" s="3" t="s">
        <v>38</v>
      </c>
      <c r="F242" s="3">
        <v>2944.5909999999999</v>
      </c>
      <c r="G242" s="3"/>
      <c r="H242" s="3"/>
      <c r="I242" s="3">
        <v>0</v>
      </c>
      <c r="J242" s="3"/>
    </row>
    <row r="243" spans="1:10" s="2" customFormat="1" x14ac:dyDescent="0.25">
      <c r="A243" s="3" t="s">
        <v>280</v>
      </c>
      <c r="B243" s="3" t="s">
        <v>50</v>
      </c>
      <c r="C243" s="3">
        <v>0.01</v>
      </c>
      <c r="D243" s="3">
        <v>0.01</v>
      </c>
      <c r="E243" s="3" t="s">
        <v>38</v>
      </c>
      <c r="F243" s="3">
        <v>2944.4380000000001</v>
      </c>
      <c r="G243" s="3"/>
      <c r="H243" s="3"/>
      <c r="I243" s="3">
        <v>0.15</v>
      </c>
      <c r="J243" s="3"/>
    </row>
    <row r="244" spans="1:10" s="2" customFormat="1" x14ac:dyDescent="0.25">
      <c r="A244" s="3" t="s">
        <v>281</v>
      </c>
      <c r="B244" s="3" t="s">
        <v>37</v>
      </c>
      <c r="C244" s="3">
        <v>0.03</v>
      </c>
      <c r="D244" s="3">
        <v>0.03</v>
      </c>
      <c r="E244" s="3" t="s">
        <v>38</v>
      </c>
      <c r="F244" s="3">
        <v>2520.817</v>
      </c>
      <c r="G244" s="3">
        <v>2522.7089999999998</v>
      </c>
      <c r="H244" s="3">
        <v>2512.5740000000001</v>
      </c>
      <c r="I244" s="3">
        <v>0.6</v>
      </c>
      <c r="J244" s="3"/>
    </row>
    <row r="245" spans="1:10" s="2" customFormat="1" x14ac:dyDescent="0.25">
      <c r="A245" s="3" t="s">
        <v>282</v>
      </c>
      <c r="B245" s="3" t="s">
        <v>50</v>
      </c>
      <c r="C245" s="3">
        <v>0.03</v>
      </c>
      <c r="D245" s="3">
        <v>0.03</v>
      </c>
      <c r="E245" s="3" t="s">
        <v>38</v>
      </c>
      <c r="F245" s="3">
        <v>2503.444</v>
      </c>
      <c r="G245" s="3">
        <v>2502.3040000000001</v>
      </c>
      <c r="H245" s="3">
        <v>2505.6579999999999</v>
      </c>
      <c r="I245" s="3">
        <v>2.02</v>
      </c>
      <c r="J245" s="3"/>
    </row>
    <row r="246" spans="1:10" s="2" customFormat="1" x14ac:dyDescent="0.25">
      <c r="A246" s="3" t="s">
        <v>283</v>
      </c>
      <c r="B246" s="3" t="s">
        <v>50</v>
      </c>
      <c r="C246" s="3">
        <v>0.03</v>
      </c>
      <c r="D246" s="3">
        <v>0.03</v>
      </c>
      <c r="E246" s="3" t="s">
        <v>38</v>
      </c>
      <c r="F246" s="3">
        <v>2491.0279999999998</v>
      </c>
      <c r="G246" s="3">
        <v>2489.0949999999998</v>
      </c>
      <c r="H246" s="3">
        <v>2493.424</v>
      </c>
      <c r="I246" s="3">
        <v>-2.72</v>
      </c>
      <c r="J246" s="3"/>
    </row>
    <row r="247" spans="1:10" s="2" customFormat="1" x14ac:dyDescent="0.25">
      <c r="A247" s="3" t="s">
        <v>284</v>
      </c>
      <c r="B247" s="3" t="s">
        <v>37</v>
      </c>
      <c r="C247" s="3">
        <v>0.03</v>
      </c>
      <c r="D247" s="3">
        <v>0.03</v>
      </c>
      <c r="E247" s="3" t="s">
        <v>285</v>
      </c>
      <c r="F247" s="3">
        <v>189.11699999999999</v>
      </c>
      <c r="G247" s="3">
        <v>189.173</v>
      </c>
      <c r="H247" s="3">
        <v>188.404</v>
      </c>
      <c r="I247" s="3">
        <v>7.32</v>
      </c>
      <c r="J247" s="3"/>
    </row>
    <row r="248" spans="1:10" s="2" customFormat="1" x14ac:dyDescent="0.25">
      <c r="A248" s="3" t="s">
        <v>286</v>
      </c>
      <c r="B248" s="3" t="s">
        <v>37</v>
      </c>
      <c r="C248" s="3">
        <v>0.03</v>
      </c>
      <c r="D248" s="3">
        <v>0.03</v>
      </c>
      <c r="E248" s="3" t="s">
        <v>38</v>
      </c>
      <c r="F248" s="3">
        <v>2509.049</v>
      </c>
      <c r="G248" s="3">
        <v>2510.895</v>
      </c>
      <c r="H248" s="3">
        <v>2500.616</v>
      </c>
      <c r="I248" s="3">
        <v>-5.54</v>
      </c>
      <c r="J248" s="3"/>
    </row>
    <row r="249" spans="1:10" s="2" customFormat="1" x14ac:dyDescent="0.25">
      <c r="A249" s="3" t="s">
        <v>287</v>
      </c>
      <c r="B249" s="3" t="s">
        <v>37</v>
      </c>
      <c r="C249" s="3">
        <v>0.03</v>
      </c>
      <c r="D249" s="3">
        <v>0.03</v>
      </c>
      <c r="E249" s="3" t="s">
        <v>38</v>
      </c>
      <c r="F249" s="3">
        <v>2503.8609999999999</v>
      </c>
      <c r="G249" s="3">
        <v>2504.7040000000002</v>
      </c>
      <c r="H249" s="3">
        <v>2500.5929999999998</v>
      </c>
      <c r="I249" s="3">
        <v>-2.5299999999999998</v>
      </c>
      <c r="J249" s="3"/>
    </row>
    <row r="250" spans="1:10" s="2" customFormat="1" x14ac:dyDescent="0.25">
      <c r="A250" s="3" t="s">
        <v>288</v>
      </c>
      <c r="B250" s="3" t="s">
        <v>37</v>
      </c>
      <c r="C250" s="3">
        <v>0.03</v>
      </c>
      <c r="D250" s="3">
        <v>0.03</v>
      </c>
      <c r="E250" s="3" t="s">
        <v>38</v>
      </c>
      <c r="F250" s="3">
        <v>2500.1469999999999</v>
      </c>
      <c r="G250" s="3">
        <v>2502.5509999999999</v>
      </c>
      <c r="H250" s="3">
        <v>2491.2600000000002</v>
      </c>
      <c r="I250" s="3">
        <v>4.63</v>
      </c>
      <c r="J250" s="3"/>
    </row>
    <row r="251" spans="1:10" s="2" customFormat="1" x14ac:dyDescent="0.25">
      <c r="A251" s="3" t="s">
        <v>289</v>
      </c>
      <c r="B251" s="3" t="s">
        <v>37</v>
      </c>
      <c r="C251" s="3">
        <v>0.03</v>
      </c>
      <c r="D251" s="3">
        <v>0.03</v>
      </c>
      <c r="E251" s="3" t="s">
        <v>38</v>
      </c>
      <c r="F251" s="3">
        <v>2503.1129999999998</v>
      </c>
      <c r="G251" s="3">
        <v>2505.7069999999999</v>
      </c>
      <c r="H251" s="3">
        <v>2497.326</v>
      </c>
      <c r="I251" s="3">
        <v>4.9800000000000004</v>
      </c>
      <c r="J251" s="3"/>
    </row>
    <row r="252" spans="1:10" s="2" customFormat="1" x14ac:dyDescent="0.25">
      <c r="A252" s="3" t="s">
        <v>290</v>
      </c>
      <c r="B252" s="3" t="s">
        <v>50</v>
      </c>
      <c r="C252" s="3">
        <v>0.02</v>
      </c>
      <c r="D252" s="3">
        <v>0.02</v>
      </c>
      <c r="E252" s="3" t="s">
        <v>38</v>
      </c>
      <c r="F252" s="3">
        <v>2518.4369999999999</v>
      </c>
      <c r="G252" s="3">
        <v>2517.2420000000002</v>
      </c>
      <c r="H252" s="3">
        <v>2524.002</v>
      </c>
      <c r="I252" s="3">
        <v>5.61</v>
      </c>
      <c r="J252" s="3"/>
    </row>
    <row r="253" spans="1:10" s="2" customFormat="1" x14ac:dyDescent="0.25">
      <c r="A253" s="3" t="s">
        <v>291</v>
      </c>
      <c r="B253" s="3" t="s">
        <v>50</v>
      </c>
      <c r="C253" s="3">
        <v>0.02</v>
      </c>
      <c r="D253" s="3">
        <v>0.02</v>
      </c>
      <c r="E253" s="3" t="s">
        <v>38</v>
      </c>
      <c r="F253" s="3">
        <v>2517.5830000000001</v>
      </c>
      <c r="G253" s="3">
        <v>2516.0419999999999</v>
      </c>
      <c r="H253" s="3">
        <v>2525.413</v>
      </c>
      <c r="I253" s="3">
        <v>-3.09</v>
      </c>
      <c r="J253" s="3"/>
    </row>
    <row r="254" spans="1:10" s="2" customFormat="1" x14ac:dyDescent="0.25">
      <c r="A254" s="3" t="s">
        <v>292</v>
      </c>
      <c r="B254" s="3" t="s">
        <v>50</v>
      </c>
      <c r="C254" s="3">
        <v>0.02</v>
      </c>
      <c r="D254" s="3">
        <v>0.02</v>
      </c>
      <c r="E254" s="3" t="s">
        <v>38</v>
      </c>
      <c r="F254" s="3">
        <v>2517.808</v>
      </c>
      <c r="G254" s="3">
        <v>2516.3780000000002</v>
      </c>
      <c r="H254" s="3">
        <v>2526.9940000000001</v>
      </c>
      <c r="I254" s="3">
        <v>-2.86</v>
      </c>
      <c r="J254" s="3"/>
    </row>
    <row r="255" spans="1:10" s="2" customFormat="1" x14ac:dyDescent="0.25">
      <c r="A255" s="3" t="s">
        <v>293</v>
      </c>
      <c r="B255" s="3" t="s">
        <v>37</v>
      </c>
      <c r="C255" s="3">
        <v>0.02</v>
      </c>
      <c r="D255" s="3">
        <v>0.02</v>
      </c>
      <c r="E255" s="3" t="s">
        <v>38</v>
      </c>
      <c r="F255" s="3">
        <v>2514.29</v>
      </c>
      <c r="G255" s="3">
        <v>2515.4029999999998</v>
      </c>
      <c r="H255" s="3">
        <v>2510.058</v>
      </c>
      <c r="I255" s="3">
        <v>-2.23</v>
      </c>
      <c r="J255" s="3"/>
    </row>
    <row r="256" spans="1:10" s="2" customFormat="1" x14ac:dyDescent="0.25">
      <c r="A256" s="3" t="s">
        <v>294</v>
      </c>
      <c r="B256" s="3" t="s">
        <v>50</v>
      </c>
      <c r="C256" s="3">
        <v>0.02</v>
      </c>
      <c r="D256" s="3">
        <v>0.02</v>
      </c>
      <c r="E256" s="3" t="s">
        <v>38</v>
      </c>
      <c r="F256" s="3">
        <v>2507.19</v>
      </c>
      <c r="G256" s="3">
        <v>2503.3539999999998</v>
      </c>
      <c r="H256" s="3">
        <v>2510.7959999999998</v>
      </c>
      <c r="I256" s="3">
        <v>5.83</v>
      </c>
      <c r="J256" s="3"/>
    </row>
    <row r="257" spans="1:10" s="2" customFormat="1" x14ac:dyDescent="0.25">
      <c r="A257" s="3" t="s">
        <v>295</v>
      </c>
      <c r="B257" s="3" t="s">
        <v>50</v>
      </c>
      <c r="C257" s="3">
        <v>0.02</v>
      </c>
      <c r="D257" s="3">
        <v>0.02</v>
      </c>
      <c r="E257" s="3" t="s">
        <v>38</v>
      </c>
      <c r="F257" s="3">
        <v>2511.2640000000001</v>
      </c>
      <c r="G257" s="3">
        <v>2508.4340000000002</v>
      </c>
      <c r="H257" s="3">
        <v>2517.4760000000001</v>
      </c>
      <c r="I257" s="3">
        <v>-6.78</v>
      </c>
      <c r="J257" s="3"/>
    </row>
    <row r="258" spans="1:10" s="2" customFormat="1" x14ac:dyDescent="0.25">
      <c r="A258" s="3" t="s">
        <v>296</v>
      </c>
      <c r="B258" s="3" t="s">
        <v>50</v>
      </c>
      <c r="C258" s="3">
        <v>0.02</v>
      </c>
      <c r="D258" s="3">
        <v>0.02</v>
      </c>
      <c r="E258" s="3" t="s">
        <v>38</v>
      </c>
      <c r="F258" s="3">
        <v>2518.855</v>
      </c>
      <c r="G258" s="3"/>
      <c r="H258" s="3"/>
      <c r="I258" s="3">
        <v>-5.09</v>
      </c>
      <c r="J258" s="3"/>
    </row>
    <row r="259" spans="1:10" s="2" customFormat="1" x14ac:dyDescent="0.25">
      <c r="A259" s="3" t="s">
        <v>297</v>
      </c>
      <c r="B259" s="3" t="s">
        <v>37</v>
      </c>
      <c r="C259" s="3">
        <v>0.02</v>
      </c>
      <c r="D259" s="3">
        <v>0.02</v>
      </c>
      <c r="E259" s="3" t="s">
        <v>38</v>
      </c>
      <c r="F259" s="3">
        <v>2505.6309999999999</v>
      </c>
      <c r="G259" s="3">
        <v>2507.1509999999998</v>
      </c>
      <c r="H259" s="3">
        <v>2501.6039999999998</v>
      </c>
      <c r="I259" s="3">
        <v>2.61</v>
      </c>
      <c r="J259" s="3"/>
    </row>
    <row r="260" spans="1:10" s="2" customFormat="1" x14ac:dyDescent="0.25">
      <c r="A260" s="3" t="s">
        <v>298</v>
      </c>
      <c r="B260" s="3" t="s">
        <v>50</v>
      </c>
      <c r="C260" s="3">
        <v>0.02</v>
      </c>
      <c r="D260" s="3">
        <v>0.02</v>
      </c>
      <c r="E260" s="3" t="s">
        <v>38</v>
      </c>
      <c r="F260" s="3">
        <v>2507.63</v>
      </c>
      <c r="G260" s="3">
        <v>2505.808</v>
      </c>
      <c r="H260" s="3">
        <v>2512.02</v>
      </c>
      <c r="I260" s="3">
        <v>3.62</v>
      </c>
      <c r="J260" s="3"/>
    </row>
    <row r="261" spans="1:10" s="2" customFormat="1" x14ac:dyDescent="0.25">
      <c r="A261" s="3" t="s">
        <v>299</v>
      </c>
      <c r="B261" s="3" t="s">
        <v>37</v>
      </c>
      <c r="C261" s="3">
        <v>0.02</v>
      </c>
      <c r="D261" s="3">
        <v>0.02</v>
      </c>
      <c r="E261" s="3" t="s">
        <v>38</v>
      </c>
      <c r="F261" s="3">
        <v>2509.5549999999998</v>
      </c>
      <c r="G261" s="3">
        <v>2512.538</v>
      </c>
      <c r="H261" s="3">
        <v>2503.4479999999999</v>
      </c>
      <c r="I261" s="3">
        <v>2.7</v>
      </c>
      <c r="J261" s="3"/>
    </row>
    <row r="262" spans="1:10" s="2" customFormat="1" x14ac:dyDescent="0.25">
      <c r="A262" s="3" t="s">
        <v>300</v>
      </c>
      <c r="B262" s="3" t="s">
        <v>37</v>
      </c>
      <c r="C262" s="3">
        <v>0.02</v>
      </c>
      <c r="D262" s="3">
        <v>0.02</v>
      </c>
      <c r="E262" s="3" t="s">
        <v>38</v>
      </c>
      <c r="F262" s="3">
        <v>2513.8000000000002</v>
      </c>
      <c r="G262" s="3">
        <v>2515.6840000000002</v>
      </c>
      <c r="H262" s="3">
        <v>2510.1219999999998</v>
      </c>
      <c r="I262" s="3">
        <v>-3.77</v>
      </c>
      <c r="J262" s="3"/>
    </row>
    <row r="263" spans="1:10" s="2" customFormat="1" x14ac:dyDescent="0.25">
      <c r="A263" s="3" t="s">
        <v>301</v>
      </c>
      <c r="B263" s="3" t="s">
        <v>37</v>
      </c>
      <c r="C263" s="3">
        <v>0.02</v>
      </c>
      <c r="D263" s="3">
        <v>0.02</v>
      </c>
      <c r="E263" s="3" t="s">
        <v>38</v>
      </c>
      <c r="F263" s="3">
        <v>2510.1129999999998</v>
      </c>
      <c r="G263" s="3">
        <v>2512.2310000000002</v>
      </c>
      <c r="H263" s="3">
        <v>2503.7559999999999</v>
      </c>
      <c r="I263" s="3">
        <v>-4.2300000000000004</v>
      </c>
      <c r="J263" s="3"/>
    </row>
    <row r="264" spans="1:10" s="2" customFormat="1" x14ac:dyDescent="0.25">
      <c r="A264" s="3" t="s">
        <v>302</v>
      </c>
      <c r="B264" s="3" t="s">
        <v>37</v>
      </c>
      <c r="C264" s="3">
        <v>0.02</v>
      </c>
      <c r="D264" s="3">
        <v>0.02</v>
      </c>
      <c r="E264" s="3" t="s">
        <v>38</v>
      </c>
      <c r="F264" s="3">
        <v>2511.4479999999999</v>
      </c>
      <c r="G264" s="3">
        <v>2514.1660000000002</v>
      </c>
      <c r="H264" s="3">
        <v>2505.5509999999999</v>
      </c>
      <c r="I264" s="3">
        <v>2.34</v>
      </c>
      <c r="J264" s="3"/>
    </row>
    <row r="265" spans="1:10" s="2" customFormat="1" x14ac:dyDescent="0.25">
      <c r="A265" s="3" t="s">
        <v>303</v>
      </c>
      <c r="B265" s="3" t="s">
        <v>50</v>
      </c>
      <c r="C265" s="3">
        <v>0.02</v>
      </c>
      <c r="D265" s="3">
        <v>0.02</v>
      </c>
      <c r="E265" s="3" t="s">
        <v>38</v>
      </c>
      <c r="F265" s="3">
        <v>2510.319</v>
      </c>
      <c r="G265" s="3">
        <v>2507.1909999999998</v>
      </c>
      <c r="H265" s="3">
        <v>2518.5369999999998</v>
      </c>
      <c r="I265" s="3">
        <v>3.89</v>
      </c>
      <c r="J265" s="3"/>
    </row>
    <row r="266" spans="1:10" s="2" customFormat="1" x14ac:dyDescent="0.25">
      <c r="A266" s="3" t="s">
        <v>304</v>
      </c>
      <c r="B266" s="3" t="s">
        <v>50</v>
      </c>
      <c r="C266" s="3">
        <v>0.02</v>
      </c>
      <c r="D266" s="3">
        <v>0.02</v>
      </c>
      <c r="E266" s="3" t="s">
        <v>38</v>
      </c>
      <c r="F266" s="3">
        <v>2492.6370000000002</v>
      </c>
      <c r="G266" s="3">
        <v>2491.203</v>
      </c>
      <c r="H266" s="3">
        <v>2494.991</v>
      </c>
      <c r="I266" s="3">
        <v>-0.75</v>
      </c>
      <c r="J266" s="3"/>
    </row>
    <row r="267" spans="1:10" s="2" customFormat="1" x14ac:dyDescent="0.25">
      <c r="A267" s="3" t="s">
        <v>305</v>
      </c>
      <c r="B267" s="3" t="s">
        <v>50</v>
      </c>
      <c r="C267" s="3">
        <v>0.02</v>
      </c>
      <c r="D267" s="3">
        <v>0.02</v>
      </c>
      <c r="E267" s="3" t="s">
        <v>38</v>
      </c>
      <c r="F267" s="3">
        <v>2500.7280000000001</v>
      </c>
      <c r="G267" s="3">
        <v>2499.4690000000001</v>
      </c>
      <c r="H267" s="3">
        <v>2502.5079999999998</v>
      </c>
      <c r="I267" s="3">
        <v>-2.52</v>
      </c>
      <c r="J267" s="3"/>
    </row>
    <row r="268" spans="1:10" s="2" customFormat="1" x14ac:dyDescent="0.25">
      <c r="A268" s="3" t="s">
        <v>306</v>
      </c>
      <c r="B268" s="3" t="s">
        <v>50</v>
      </c>
      <c r="C268" s="3">
        <v>0.01</v>
      </c>
      <c r="D268" s="3">
        <v>0.01</v>
      </c>
      <c r="E268" s="3" t="s">
        <v>38</v>
      </c>
      <c r="F268" s="3">
        <v>2467.7130000000002</v>
      </c>
      <c r="G268" s="3">
        <v>2462.04</v>
      </c>
      <c r="H268" s="3">
        <v>2477.404</v>
      </c>
      <c r="I268" s="3">
        <v>8.74</v>
      </c>
      <c r="J268" s="3"/>
    </row>
    <row r="269" spans="1:10" s="2" customFormat="1" x14ac:dyDescent="0.25">
      <c r="A269" s="3" t="s">
        <v>307</v>
      </c>
      <c r="B269" s="3" t="s">
        <v>37</v>
      </c>
      <c r="C269" s="3">
        <v>0.01</v>
      </c>
      <c r="D269" s="3">
        <v>0.01</v>
      </c>
      <c r="E269" s="3" t="s">
        <v>38</v>
      </c>
      <c r="F269" s="3">
        <v>2427.3330000000001</v>
      </c>
      <c r="G269" s="3">
        <v>2428.8890000000001</v>
      </c>
      <c r="H269" s="3">
        <v>2423.377</v>
      </c>
      <c r="I269" s="3">
        <v>1.38</v>
      </c>
      <c r="J269" s="3"/>
    </row>
    <row r="270" spans="1:10" s="2" customFormat="1" x14ac:dyDescent="0.25">
      <c r="A270" s="3" t="s">
        <v>308</v>
      </c>
      <c r="B270" s="3" t="s">
        <v>37</v>
      </c>
      <c r="C270" s="3">
        <v>0.02</v>
      </c>
      <c r="D270" s="3">
        <v>0.02</v>
      </c>
      <c r="E270" s="3" t="s">
        <v>38</v>
      </c>
      <c r="F270" s="3">
        <v>2424.9110000000001</v>
      </c>
      <c r="G270" s="3">
        <v>2426.2339999999999</v>
      </c>
      <c r="H270" s="3">
        <v>2420.3969999999999</v>
      </c>
      <c r="I270" s="3">
        <v>4.1900000000000004</v>
      </c>
      <c r="J270" s="3"/>
    </row>
    <row r="271" spans="1:10" s="2" customFormat="1" x14ac:dyDescent="0.25">
      <c r="A271" s="3" t="s">
        <v>309</v>
      </c>
      <c r="B271" s="3" t="s">
        <v>50</v>
      </c>
      <c r="C271" s="3">
        <v>0.02</v>
      </c>
      <c r="D271" s="3">
        <v>0.02</v>
      </c>
      <c r="E271" s="3" t="s">
        <v>38</v>
      </c>
      <c r="F271" s="3">
        <v>2425.6419999999998</v>
      </c>
      <c r="G271" s="3">
        <v>2423.0160000000001</v>
      </c>
      <c r="H271" s="3">
        <v>2431.6579999999999</v>
      </c>
      <c r="I271" s="3">
        <v>-5.25</v>
      </c>
      <c r="J271" s="3"/>
    </row>
    <row r="272" spans="1:10" s="2" customFormat="1" x14ac:dyDescent="0.25">
      <c r="A272" s="3" t="s">
        <v>310</v>
      </c>
      <c r="B272" s="3" t="s">
        <v>50</v>
      </c>
      <c r="C272" s="3">
        <v>0.02</v>
      </c>
      <c r="D272" s="3">
        <v>0.02</v>
      </c>
      <c r="E272" s="3" t="s">
        <v>38</v>
      </c>
      <c r="F272" s="3">
        <v>2426.9490000000001</v>
      </c>
      <c r="G272" s="3">
        <v>2424.125</v>
      </c>
      <c r="H272" s="3">
        <v>2432.8960000000002</v>
      </c>
      <c r="I272" s="3">
        <v>-5.65</v>
      </c>
      <c r="J272" s="3"/>
    </row>
    <row r="273" spans="1:10" s="2" customFormat="1" x14ac:dyDescent="0.25">
      <c r="A273" s="3" t="s">
        <v>311</v>
      </c>
      <c r="B273" s="3" t="s">
        <v>50</v>
      </c>
      <c r="C273" s="3">
        <v>0.02</v>
      </c>
      <c r="D273" s="3">
        <v>0.02</v>
      </c>
      <c r="E273" s="3" t="s">
        <v>38</v>
      </c>
      <c r="F273" s="3">
        <v>2464.16</v>
      </c>
      <c r="G273" s="3">
        <v>2462.2429999999999</v>
      </c>
      <c r="H273" s="3">
        <v>2465.3040000000001</v>
      </c>
      <c r="I273" s="3">
        <v>0.78</v>
      </c>
      <c r="J273" s="3"/>
    </row>
    <row r="274" spans="1:10" s="2" customFormat="1" x14ac:dyDescent="0.25">
      <c r="A274" s="3" t="s">
        <v>312</v>
      </c>
      <c r="B274" s="3" t="s">
        <v>37</v>
      </c>
      <c r="C274" s="3">
        <v>0.02</v>
      </c>
      <c r="D274" s="3">
        <v>0.02</v>
      </c>
      <c r="E274" s="3" t="s">
        <v>38</v>
      </c>
      <c r="F274" s="3">
        <v>2466.96</v>
      </c>
      <c r="G274" s="3">
        <v>2467.8609999999999</v>
      </c>
      <c r="H274" s="3">
        <v>2465.5509999999999</v>
      </c>
      <c r="I274" s="3">
        <v>1.23</v>
      </c>
      <c r="J274" s="3"/>
    </row>
    <row r="275" spans="1:10" s="2" customFormat="1" x14ac:dyDescent="0.25">
      <c r="A275" s="3" t="s">
        <v>313</v>
      </c>
      <c r="B275" s="3" t="s">
        <v>37</v>
      </c>
      <c r="C275" s="3">
        <v>0.01</v>
      </c>
      <c r="D275" s="3">
        <v>0.01</v>
      </c>
      <c r="E275" s="3" t="s">
        <v>38</v>
      </c>
      <c r="F275" s="3">
        <v>2464.91</v>
      </c>
      <c r="G275" s="3">
        <v>2465.991</v>
      </c>
      <c r="H275" s="3">
        <v>2461.4029999999998</v>
      </c>
      <c r="I275" s="3">
        <v>-1.08</v>
      </c>
      <c r="J275" s="3"/>
    </row>
    <row r="276" spans="1:10" s="2" customFormat="1" x14ac:dyDescent="0.25">
      <c r="A276" s="3" t="s">
        <v>314</v>
      </c>
      <c r="B276" s="3" t="s">
        <v>37</v>
      </c>
      <c r="C276" s="3">
        <v>0.01</v>
      </c>
      <c r="D276" s="3">
        <v>0.01</v>
      </c>
      <c r="E276" s="3" t="s">
        <v>38</v>
      </c>
      <c r="F276" s="3">
        <v>2458.913</v>
      </c>
      <c r="G276" s="3">
        <v>2460.7759999999998</v>
      </c>
      <c r="H276" s="3">
        <v>2453.991</v>
      </c>
      <c r="I276" s="3">
        <v>-1.87</v>
      </c>
      <c r="J276" s="3"/>
    </row>
    <row r="277" spans="1:10" s="2" customFormat="1" x14ac:dyDescent="0.25">
      <c r="A277" s="3" t="s">
        <v>315</v>
      </c>
      <c r="B277" s="3" t="s">
        <v>50</v>
      </c>
      <c r="C277" s="3">
        <v>0.02</v>
      </c>
      <c r="D277" s="3">
        <v>0.02</v>
      </c>
      <c r="E277" s="3" t="s">
        <v>38</v>
      </c>
      <c r="F277" s="3">
        <v>2449.971</v>
      </c>
      <c r="G277" s="3">
        <v>2449.049</v>
      </c>
      <c r="H277" s="3">
        <v>2453.0059999999999</v>
      </c>
      <c r="I277" s="3">
        <v>-1.84</v>
      </c>
      <c r="J277" s="3"/>
    </row>
    <row r="278" spans="1:10" s="2" customFormat="1" x14ac:dyDescent="0.25">
      <c r="A278" s="3" t="s">
        <v>316</v>
      </c>
      <c r="B278" s="3" t="s">
        <v>37</v>
      </c>
      <c r="C278" s="3">
        <v>0.02</v>
      </c>
      <c r="D278" s="3">
        <v>0.02</v>
      </c>
      <c r="E278" s="3" t="s">
        <v>38</v>
      </c>
      <c r="F278" s="3">
        <v>2449.8249999999998</v>
      </c>
      <c r="G278" s="3"/>
      <c r="H278" s="3"/>
      <c r="I278" s="3">
        <v>-1.28</v>
      </c>
      <c r="J278" s="3"/>
    </row>
    <row r="279" spans="1:10" s="2" customFormat="1" x14ac:dyDescent="0.25">
      <c r="A279" s="3" t="s">
        <v>317</v>
      </c>
      <c r="B279" s="3" t="s">
        <v>37</v>
      </c>
      <c r="C279" s="3">
        <v>0.02</v>
      </c>
      <c r="D279" s="3">
        <v>0.02</v>
      </c>
      <c r="E279" s="3" t="s">
        <v>38</v>
      </c>
      <c r="F279" s="3">
        <v>2444.9789999999998</v>
      </c>
      <c r="G279" s="3">
        <v>2446.0500000000002</v>
      </c>
      <c r="H279" s="3">
        <v>2443.317</v>
      </c>
      <c r="I279" s="3">
        <v>-2.14</v>
      </c>
      <c r="J279" s="3"/>
    </row>
    <row r="280" spans="1:10" s="2" customFormat="1" x14ac:dyDescent="0.25">
      <c r="A280" s="3" t="s">
        <v>318</v>
      </c>
      <c r="B280" s="3" t="s">
        <v>50</v>
      </c>
      <c r="C280" s="3">
        <v>0.02</v>
      </c>
      <c r="D280" s="3">
        <v>0.02</v>
      </c>
      <c r="E280" s="3" t="s">
        <v>38</v>
      </c>
      <c r="F280" s="3">
        <v>2434.4989999999998</v>
      </c>
      <c r="G280" s="3">
        <v>2432.0129999999999</v>
      </c>
      <c r="H280" s="3">
        <v>2442.3380000000002</v>
      </c>
      <c r="I280" s="3">
        <v>0.67</v>
      </c>
      <c r="J280" s="3"/>
    </row>
    <row r="281" spans="1:10" s="2" customFormat="1" x14ac:dyDescent="0.25">
      <c r="A281" s="3" t="s">
        <v>319</v>
      </c>
      <c r="B281" s="3" t="s">
        <v>37</v>
      </c>
      <c r="C281" s="3">
        <v>0.01</v>
      </c>
      <c r="D281" s="3">
        <v>0.01</v>
      </c>
      <c r="E281" s="3" t="s">
        <v>38</v>
      </c>
      <c r="F281" s="3">
        <v>2389.297</v>
      </c>
      <c r="G281" s="3">
        <v>2392.3319999999999</v>
      </c>
      <c r="H281" s="3">
        <v>2381.6990000000001</v>
      </c>
      <c r="I281" s="3">
        <v>2.0499999999999998</v>
      </c>
      <c r="J281" s="3"/>
    </row>
    <row r="282" spans="1:10" s="2" customFormat="1" x14ac:dyDescent="0.25">
      <c r="A282" s="3" t="s">
        <v>320</v>
      </c>
      <c r="B282" s="3" t="s">
        <v>37</v>
      </c>
      <c r="C282" s="3">
        <v>0.01</v>
      </c>
      <c r="D282" s="3">
        <v>0.01</v>
      </c>
      <c r="E282" s="3" t="s">
        <v>38</v>
      </c>
      <c r="F282" s="3">
        <v>2387.3539999999998</v>
      </c>
      <c r="G282" s="3">
        <v>2388.5770000000002</v>
      </c>
      <c r="H282" s="3">
        <v>2381.607</v>
      </c>
      <c r="I282" s="3">
        <v>-1.23</v>
      </c>
      <c r="J282" s="3"/>
    </row>
    <row r="283" spans="1:10" s="2" customFormat="1" x14ac:dyDescent="0.25">
      <c r="A283" s="3" t="s">
        <v>321</v>
      </c>
      <c r="B283" s="3" t="s">
        <v>50</v>
      </c>
      <c r="C283" s="3">
        <v>0.01</v>
      </c>
      <c r="D283" s="3">
        <v>0.01</v>
      </c>
      <c r="E283" s="3" t="s">
        <v>38</v>
      </c>
      <c r="F283" s="3">
        <v>2391.4229999999998</v>
      </c>
      <c r="G283" s="3">
        <v>2388.4050000000002</v>
      </c>
      <c r="H283" s="3">
        <v>2396.5680000000002</v>
      </c>
      <c r="I283" s="3">
        <v>-0.15</v>
      </c>
      <c r="J283" s="3"/>
    </row>
    <row r="284" spans="1:10" s="2" customFormat="1" x14ac:dyDescent="0.25">
      <c r="A284" s="3" t="s">
        <v>322</v>
      </c>
      <c r="B284" s="3" t="s">
        <v>37</v>
      </c>
      <c r="C284" s="3">
        <v>0.01</v>
      </c>
      <c r="D284" s="3">
        <v>0.01</v>
      </c>
      <c r="E284" s="3" t="s">
        <v>38</v>
      </c>
      <c r="F284" s="3">
        <v>2393.3020000000001</v>
      </c>
      <c r="G284" s="3">
        <v>2396.5329999999999</v>
      </c>
      <c r="H284" s="3">
        <v>2384.7220000000002</v>
      </c>
      <c r="I284" s="3">
        <v>1.07</v>
      </c>
      <c r="J284" s="3"/>
    </row>
    <row r="285" spans="1:10" s="2" customFormat="1" x14ac:dyDescent="0.25">
      <c r="A285" s="3" t="s">
        <v>323</v>
      </c>
      <c r="B285" s="3" t="s">
        <v>50</v>
      </c>
      <c r="C285" s="3">
        <v>0.01</v>
      </c>
      <c r="D285" s="3">
        <v>0.01</v>
      </c>
      <c r="E285" s="3" t="s">
        <v>38</v>
      </c>
      <c r="F285" s="3">
        <v>2369.913</v>
      </c>
      <c r="G285" s="3">
        <v>2366.6729999999998</v>
      </c>
      <c r="H285" s="3">
        <v>2376.297</v>
      </c>
      <c r="I285" s="3">
        <v>1.91</v>
      </c>
      <c r="J285" s="3"/>
    </row>
    <row r="286" spans="1:10" s="2" customFormat="1" x14ac:dyDescent="0.25">
      <c r="A286" s="3" t="s">
        <v>324</v>
      </c>
      <c r="B286" s="3" t="s">
        <v>37</v>
      </c>
      <c r="C286" s="3">
        <v>0.01</v>
      </c>
      <c r="D286" s="3">
        <v>0.01</v>
      </c>
      <c r="E286" s="3" t="s">
        <v>38</v>
      </c>
      <c r="F286" s="3">
        <v>2368.6170000000002</v>
      </c>
      <c r="G286" s="3">
        <v>2370.011</v>
      </c>
      <c r="H286" s="3">
        <v>2365.5529999999999</v>
      </c>
      <c r="I286" s="3">
        <v>-1.39</v>
      </c>
      <c r="J286" s="3"/>
    </row>
    <row r="287" spans="1:10" s="2" customFormat="1" x14ac:dyDescent="0.25">
      <c r="A287" s="3" t="s">
        <v>325</v>
      </c>
      <c r="B287" s="3" t="s">
        <v>37</v>
      </c>
      <c r="C287" s="3">
        <v>0.01</v>
      </c>
      <c r="D287" s="3">
        <v>0.01</v>
      </c>
      <c r="E287" s="3" t="s">
        <v>38</v>
      </c>
      <c r="F287" s="3">
        <v>2373.5030000000002</v>
      </c>
      <c r="G287" s="3">
        <v>2373.596</v>
      </c>
      <c r="H287" s="3">
        <v>2368.5120000000002</v>
      </c>
      <c r="I287" s="3">
        <v>1.4</v>
      </c>
      <c r="J287" s="3"/>
    </row>
    <row r="288" spans="1:10" s="2" customFormat="1" x14ac:dyDescent="0.25">
      <c r="A288" s="3" t="s">
        <v>326</v>
      </c>
      <c r="B288" s="3" t="s">
        <v>37</v>
      </c>
      <c r="C288" s="3">
        <v>0.01</v>
      </c>
      <c r="D288" s="3">
        <v>0.01</v>
      </c>
      <c r="E288" s="3" t="s">
        <v>38</v>
      </c>
      <c r="F288" s="3">
        <v>2367.7089999999998</v>
      </c>
      <c r="G288" s="3">
        <v>2371.002</v>
      </c>
      <c r="H288" s="3">
        <v>2360.0630000000001</v>
      </c>
      <c r="I288" s="3">
        <v>-3.29</v>
      </c>
      <c r="J288" s="3"/>
    </row>
    <row r="289" spans="1:10" s="2" customFormat="1" x14ac:dyDescent="0.25">
      <c r="A289" s="3" t="s">
        <v>327</v>
      </c>
      <c r="B289" s="3" t="s">
        <v>37</v>
      </c>
      <c r="C289" s="3">
        <v>0.01</v>
      </c>
      <c r="D289" s="3">
        <v>0.01</v>
      </c>
      <c r="E289" s="3" t="s">
        <v>38</v>
      </c>
      <c r="F289" s="3">
        <v>2358.569</v>
      </c>
      <c r="G289" s="3">
        <v>2360.3240000000001</v>
      </c>
      <c r="H289" s="3">
        <v>2354.7750000000001</v>
      </c>
      <c r="I289" s="3">
        <v>-1.75</v>
      </c>
      <c r="J289" s="3"/>
    </row>
  </sheetData>
  <autoFilter ref="A1:J289" xr:uid="{09B90FCA-43EF-42EF-AC14-431AF01827D1}"/>
  <mergeCells count="4">
    <mergeCell ref="L5:L6"/>
    <mergeCell ref="M5:M6"/>
    <mergeCell ref="L7:L8"/>
    <mergeCell ref="M7: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1FBC-8028-459F-928D-C7BF0EDD7C61}">
  <dimension ref="A1:I449"/>
  <sheetViews>
    <sheetView tabSelected="1" zoomScaleNormal="100" workbookViewId="0">
      <pane ySplit="1" topLeftCell="A2" activePane="bottomLeft" state="frozen"/>
      <selection pane="bottomLeft" activeCell="J11" sqref="J11"/>
    </sheetView>
  </sheetViews>
  <sheetFormatPr defaultRowHeight="17.25" x14ac:dyDescent="0.25"/>
  <cols>
    <col min="1" max="1" width="13.5703125" style="7" customWidth="1"/>
    <col min="2" max="2" width="12" style="7" customWidth="1"/>
    <col min="3" max="3" width="12.7109375" style="7" bestFit="1" customWidth="1"/>
    <col min="4" max="4" width="11" style="7" bestFit="1" customWidth="1"/>
    <col min="5" max="5" width="18.5703125" style="7" bestFit="1" customWidth="1"/>
    <col min="6" max="6" width="26.5703125" style="7" bestFit="1" customWidth="1"/>
    <col min="7" max="7" width="20.7109375" style="7" bestFit="1" customWidth="1"/>
    <col min="8" max="8" width="9.140625" style="8"/>
    <col min="9" max="9" width="10.140625" style="8" bestFit="1" customWidth="1"/>
    <col min="10" max="16384" width="9.140625" style="8"/>
  </cols>
  <sheetData>
    <row r="1" spans="1:9" s="6" customFormat="1" ht="21.75" thickBot="1" x14ac:dyDescent="0.3">
      <c r="A1" s="5" t="s">
        <v>0</v>
      </c>
      <c r="B1" s="5" t="s">
        <v>9</v>
      </c>
      <c r="C1" s="5" t="s">
        <v>16</v>
      </c>
      <c r="D1" s="5" t="s">
        <v>15</v>
      </c>
      <c r="E1" s="5" t="s">
        <v>26</v>
      </c>
      <c r="F1" s="5" t="s">
        <v>20</v>
      </c>
      <c r="G1" s="5" t="s">
        <v>23</v>
      </c>
      <c r="I1" s="6" t="s">
        <v>24</v>
      </c>
    </row>
    <row r="2" spans="1:9" ht="18" thickTop="1" x14ac:dyDescent="0.25">
      <c r="A2" s="7" t="s">
        <v>17</v>
      </c>
      <c r="B2" s="9" t="s">
        <v>19</v>
      </c>
      <c r="C2" s="9"/>
      <c r="D2" s="9"/>
      <c r="E2" s="9"/>
      <c r="F2" s="9"/>
      <c r="I2" s="8">
        <v>9.9499999999999993</v>
      </c>
    </row>
    <row r="3" spans="1:9" x14ac:dyDescent="0.25">
      <c r="A3" s="7" t="s">
        <v>17</v>
      </c>
      <c r="B3" s="7" t="s">
        <v>18</v>
      </c>
      <c r="C3" s="7">
        <v>0.26</v>
      </c>
      <c r="D3" s="7">
        <v>0</v>
      </c>
      <c r="E3" s="7">
        <v>0.26</v>
      </c>
      <c r="F3" s="7">
        <f>I2+C3</f>
        <v>10.209999999999999</v>
      </c>
      <c r="G3" s="7">
        <v>-0.05</v>
      </c>
    </row>
    <row r="4" spans="1:9" x14ac:dyDescent="0.25">
      <c r="A4" s="7" t="s">
        <v>21</v>
      </c>
      <c r="B4" s="7" t="s">
        <v>18</v>
      </c>
      <c r="C4" s="7">
        <v>2.92</v>
      </c>
      <c r="D4" s="7">
        <v>0</v>
      </c>
      <c r="E4" s="7">
        <v>2.92</v>
      </c>
      <c r="F4" s="7">
        <f>C4+F3</f>
        <v>13.129999999999999</v>
      </c>
      <c r="G4" s="7">
        <v>0</v>
      </c>
    </row>
    <row r="5" spans="1:9" x14ac:dyDescent="0.25">
      <c r="A5" s="7" t="s">
        <v>22</v>
      </c>
      <c r="B5" s="7" t="s">
        <v>18</v>
      </c>
      <c r="C5" s="7">
        <v>13.26</v>
      </c>
      <c r="D5" s="7">
        <v>0</v>
      </c>
      <c r="E5" s="7">
        <v>13.26</v>
      </c>
      <c r="F5" s="7">
        <f>C5+F4</f>
        <v>26.39</v>
      </c>
      <c r="G5" s="7">
        <v>-4.08</v>
      </c>
    </row>
    <row r="6" spans="1:9" x14ac:dyDescent="0.25">
      <c r="A6" s="7" t="s">
        <v>25</v>
      </c>
      <c r="B6" s="7" t="s">
        <v>18</v>
      </c>
      <c r="C6" s="7">
        <v>31.7</v>
      </c>
      <c r="D6" s="7">
        <v>24.99</v>
      </c>
      <c r="E6" s="7">
        <f>C6-D6</f>
        <v>6.7100000000000009</v>
      </c>
      <c r="F6" s="7">
        <f>(C6+F5)-D6</f>
        <v>33.100000000000009</v>
      </c>
      <c r="G6" s="7">
        <v>-0.03</v>
      </c>
    </row>
    <row r="7" spans="1:9" x14ac:dyDescent="0.25">
      <c r="A7" s="7" t="s">
        <v>329</v>
      </c>
      <c r="B7" s="7" t="s">
        <v>18</v>
      </c>
      <c r="C7" s="7">
        <v>12.93</v>
      </c>
      <c r="D7" s="7">
        <v>0</v>
      </c>
      <c r="E7" s="7">
        <v>12.93</v>
      </c>
      <c r="F7" s="7">
        <f t="shared" ref="F7:F70" si="0">C7+F6-D7</f>
        <v>46.030000000000008</v>
      </c>
      <c r="G7" s="7">
        <v>-3</v>
      </c>
    </row>
    <row r="8" spans="1:9" x14ac:dyDescent="0.25">
      <c r="F8" s="7">
        <f t="shared" si="0"/>
        <v>46.030000000000008</v>
      </c>
    </row>
    <row r="9" spans="1:9" x14ac:dyDescent="0.25">
      <c r="F9" s="7">
        <f t="shared" si="0"/>
        <v>46.030000000000008</v>
      </c>
    </row>
    <row r="10" spans="1:9" x14ac:dyDescent="0.25">
      <c r="F10" s="7">
        <f t="shared" si="0"/>
        <v>46.030000000000008</v>
      </c>
    </row>
    <row r="11" spans="1:9" x14ac:dyDescent="0.25">
      <c r="F11" s="7">
        <f t="shared" si="0"/>
        <v>46.030000000000008</v>
      </c>
    </row>
    <row r="12" spans="1:9" x14ac:dyDescent="0.25">
      <c r="F12" s="7">
        <f t="shared" si="0"/>
        <v>46.030000000000008</v>
      </c>
    </row>
    <row r="13" spans="1:9" x14ac:dyDescent="0.25">
      <c r="F13" s="7">
        <f t="shared" si="0"/>
        <v>46.030000000000008</v>
      </c>
    </row>
    <row r="14" spans="1:9" x14ac:dyDescent="0.25">
      <c r="F14" s="7">
        <f t="shared" si="0"/>
        <v>46.030000000000008</v>
      </c>
    </row>
    <row r="15" spans="1:9" x14ac:dyDescent="0.25">
      <c r="F15" s="7">
        <f t="shared" si="0"/>
        <v>46.030000000000008</v>
      </c>
    </row>
    <row r="16" spans="1:9" x14ac:dyDescent="0.25">
      <c r="F16" s="7">
        <f t="shared" si="0"/>
        <v>46.030000000000008</v>
      </c>
    </row>
    <row r="17" spans="6:6" x14ac:dyDescent="0.25">
      <c r="F17" s="7">
        <f t="shared" si="0"/>
        <v>46.030000000000008</v>
      </c>
    </row>
    <row r="18" spans="6:6" x14ac:dyDescent="0.25">
      <c r="F18" s="7">
        <f t="shared" si="0"/>
        <v>46.030000000000008</v>
      </c>
    </row>
    <row r="19" spans="6:6" x14ac:dyDescent="0.25">
      <c r="F19" s="7">
        <f t="shared" si="0"/>
        <v>46.030000000000008</v>
      </c>
    </row>
    <row r="20" spans="6:6" x14ac:dyDescent="0.25">
      <c r="F20" s="7">
        <f t="shared" si="0"/>
        <v>46.030000000000008</v>
      </c>
    </row>
    <row r="21" spans="6:6" x14ac:dyDescent="0.25">
      <c r="F21" s="7">
        <f t="shared" si="0"/>
        <v>46.030000000000008</v>
      </c>
    </row>
    <row r="22" spans="6:6" x14ac:dyDescent="0.25">
      <c r="F22" s="7">
        <f t="shared" si="0"/>
        <v>46.030000000000008</v>
      </c>
    </row>
    <row r="23" spans="6:6" x14ac:dyDescent="0.25">
      <c r="F23" s="7">
        <f t="shared" si="0"/>
        <v>46.030000000000008</v>
      </c>
    </row>
    <row r="24" spans="6:6" x14ac:dyDescent="0.25">
      <c r="F24" s="7">
        <f t="shared" si="0"/>
        <v>46.030000000000008</v>
      </c>
    </row>
    <row r="25" spans="6:6" x14ac:dyDescent="0.25">
      <c r="F25" s="7">
        <f t="shared" si="0"/>
        <v>46.030000000000008</v>
      </c>
    </row>
    <row r="26" spans="6:6" x14ac:dyDescent="0.25">
      <c r="F26" s="7">
        <f t="shared" si="0"/>
        <v>46.030000000000008</v>
      </c>
    </row>
    <row r="27" spans="6:6" x14ac:dyDescent="0.25">
      <c r="F27" s="7">
        <f t="shared" si="0"/>
        <v>46.030000000000008</v>
      </c>
    </row>
    <row r="28" spans="6:6" x14ac:dyDescent="0.25">
      <c r="F28" s="7">
        <f t="shared" si="0"/>
        <v>46.030000000000008</v>
      </c>
    </row>
    <row r="29" spans="6:6" x14ac:dyDescent="0.25">
      <c r="F29" s="7">
        <f t="shared" si="0"/>
        <v>46.030000000000008</v>
      </c>
    </row>
    <row r="30" spans="6:6" x14ac:dyDescent="0.25">
      <c r="F30" s="7">
        <f t="shared" si="0"/>
        <v>46.030000000000008</v>
      </c>
    </row>
    <row r="31" spans="6:6" x14ac:dyDescent="0.25">
      <c r="F31" s="7">
        <f t="shared" si="0"/>
        <v>46.030000000000008</v>
      </c>
    </row>
    <row r="32" spans="6:6" x14ac:dyDescent="0.25">
      <c r="F32" s="7">
        <f t="shared" si="0"/>
        <v>46.030000000000008</v>
      </c>
    </row>
    <row r="33" spans="6:6" x14ac:dyDescent="0.25">
      <c r="F33" s="7">
        <f t="shared" si="0"/>
        <v>46.030000000000008</v>
      </c>
    </row>
    <row r="34" spans="6:6" x14ac:dyDescent="0.25">
      <c r="F34" s="7">
        <f t="shared" si="0"/>
        <v>46.030000000000008</v>
      </c>
    </row>
    <row r="35" spans="6:6" x14ac:dyDescent="0.25">
      <c r="F35" s="7">
        <f t="shared" si="0"/>
        <v>46.030000000000008</v>
      </c>
    </row>
    <row r="36" spans="6:6" x14ac:dyDescent="0.25">
      <c r="F36" s="7">
        <f t="shared" si="0"/>
        <v>46.030000000000008</v>
      </c>
    </row>
    <row r="37" spans="6:6" x14ac:dyDescent="0.25">
      <c r="F37" s="7">
        <f t="shared" si="0"/>
        <v>46.030000000000008</v>
      </c>
    </row>
    <row r="38" spans="6:6" x14ac:dyDescent="0.25">
      <c r="F38" s="7">
        <f t="shared" si="0"/>
        <v>46.030000000000008</v>
      </c>
    </row>
    <row r="39" spans="6:6" x14ac:dyDescent="0.25">
      <c r="F39" s="7">
        <f t="shared" si="0"/>
        <v>46.030000000000008</v>
      </c>
    </row>
    <row r="40" spans="6:6" x14ac:dyDescent="0.25">
      <c r="F40" s="7">
        <f t="shared" si="0"/>
        <v>46.030000000000008</v>
      </c>
    </row>
    <row r="41" spans="6:6" x14ac:dyDescent="0.25">
      <c r="F41" s="7">
        <f t="shared" si="0"/>
        <v>46.030000000000008</v>
      </c>
    </row>
    <row r="42" spans="6:6" x14ac:dyDescent="0.25">
      <c r="F42" s="7">
        <f t="shared" si="0"/>
        <v>46.030000000000008</v>
      </c>
    </row>
    <row r="43" spans="6:6" x14ac:dyDescent="0.25">
      <c r="F43" s="7">
        <f t="shared" si="0"/>
        <v>46.030000000000008</v>
      </c>
    </row>
    <row r="44" spans="6:6" x14ac:dyDescent="0.25">
      <c r="F44" s="7">
        <f t="shared" si="0"/>
        <v>46.030000000000008</v>
      </c>
    </row>
    <row r="45" spans="6:6" x14ac:dyDescent="0.25">
      <c r="F45" s="7">
        <f t="shared" si="0"/>
        <v>46.030000000000008</v>
      </c>
    </row>
    <row r="46" spans="6:6" x14ac:dyDescent="0.25">
      <c r="F46" s="7">
        <f t="shared" si="0"/>
        <v>46.030000000000008</v>
      </c>
    </row>
    <row r="47" spans="6:6" x14ac:dyDescent="0.25">
      <c r="F47" s="7">
        <f t="shared" si="0"/>
        <v>46.030000000000008</v>
      </c>
    </row>
    <row r="48" spans="6:6" x14ac:dyDescent="0.25">
      <c r="F48" s="7">
        <f t="shared" si="0"/>
        <v>46.030000000000008</v>
      </c>
    </row>
    <row r="49" spans="6:6" x14ac:dyDescent="0.25">
      <c r="F49" s="7">
        <f t="shared" si="0"/>
        <v>46.030000000000008</v>
      </c>
    </row>
    <row r="50" spans="6:6" x14ac:dyDescent="0.25">
      <c r="F50" s="7">
        <f t="shared" si="0"/>
        <v>46.030000000000008</v>
      </c>
    </row>
    <row r="51" spans="6:6" x14ac:dyDescent="0.25">
      <c r="F51" s="7">
        <f t="shared" si="0"/>
        <v>46.030000000000008</v>
      </c>
    </row>
    <row r="52" spans="6:6" x14ac:dyDescent="0.25">
      <c r="F52" s="7">
        <f t="shared" si="0"/>
        <v>46.030000000000008</v>
      </c>
    </row>
    <row r="53" spans="6:6" x14ac:dyDescent="0.25">
      <c r="F53" s="7">
        <f t="shared" si="0"/>
        <v>46.030000000000008</v>
      </c>
    </row>
    <row r="54" spans="6:6" x14ac:dyDescent="0.25">
      <c r="F54" s="7">
        <f t="shared" si="0"/>
        <v>46.030000000000008</v>
      </c>
    </row>
    <row r="55" spans="6:6" x14ac:dyDescent="0.25">
      <c r="F55" s="7">
        <f t="shared" si="0"/>
        <v>46.030000000000008</v>
      </c>
    </row>
    <row r="56" spans="6:6" x14ac:dyDescent="0.25">
      <c r="F56" s="7">
        <f t="shared" si="0"/>
        <v>46.030000000000008</v>
      </c>
    </row>
    <row r="57" spans="6:6" x14ac:dyDescent="0.25">
      <c r="F57" s="7">
        <f t="shared" si="0"/>
        <v>46.030000000000008</v>
      </c>
    </row>
    <row r="58" spans="6:6" x14ac:dyDescent="0.25">
      <c r="F58" s="7">
        <f t="shared" si="0"/>
        <v>46.030000000000008</v>
      </c>
    </row>
    <row r="59" spans="6:6" x14ac:dyDescent="0.25">
      <c r="F59" s="7">
        <f t="shared" si="0"/>
        <v>46.030000000000008</v>
      </c>
    </row>
    <row r="60" spans="6:6" x14ac:dyDescent="0.25">
      <c r="F60" s="7">
        <f t="shared" si="0"/>
        <v>46.030000000000008</v>
      </c>
    </row>
    <row r="61" spans="6:6" x14ac:dyDescent="0.25">
      <c r="F61" s="7">
        <f t="shared" si="0"/>
        <v>46.030000000000008</v>
      </c>
    </row>
    <row r="62" spans="6:6" x14ac:dyDescent="0.25">
      <c r="F62" s="7">
        <f t="shared" si="0"/>
        <v>46.030000000000008</v>
      </c>
    </row>
    <row r="63" spans="6:6" x14ac:dyDescent="0.25">
      <c r="F63" s="7">
        <f t="shared" si="0"/>
        <v>46.030000000000008</v>
      </c>
    </row>
    <row r="64" spans="6:6" x14ac:dyDescent="0.25">
      <c r="F64" s="7">
        <f t="shared" si="0"/>
        <v>46.030000000000008</v>
      </c>
    </row>
    <row r="65" spans="6:6" x14ac:dyDescent="0.25">
      <c r="F65" s="7">
        <f t="shared" si="0"/>
        <v>46.030000000000008</v>
      </c>
    </row>
    <row r="66" spans="6:6" x14ac:dyDescent="0.25">
      <c r="F66" s="7">
        <f t="shared" si="0"/>
        <v>46.030000000000008</v>
      </c>
    </row>
    <row r="67" spans="6:6" x14ac:dyDescent="0.25">
      <c r="F67" s="7">
        <f t="shared" si="0"/>
        <v>46.030000000000008</v>
      </c>
    </row>
    <row r="68" spans="6:6" x14ac:dyDescent="0.25">
      <c r="F68" s="7">
        <f t="shared" si="0"/>
        <v>46.030000000000008</v>
      </c>
    </row>
    <row r="69" spans="6:6" x14ac:dyDescent="0.25">
      <c r="F69" s="7">
        <f t="shared" si="0"/>
        <v>46.030000000000008</v>
      </c>
    </row>
    <row r="70" spans="6:6" x14ac:dyDescent="0.25">
      <c r="F70" s="7">
        <f t="shared" si="0"/>
        <v>46.030000000000008</v>
      </c>
    </row>
    <row r="71" spans="6:6" x14ac:dyDescent="0.25">
      <c r="F71" s="7">
        <f t="shared" ref="F71:F134" si="1">C71+F70-D71</f>
        <v>46.030000000000008</v>
      </c>
    </row>
    <row r="72" spans="6:6" x14ac:dyDescent="0.25">
      <c r="F72" s="7">
        <f t="shared" si="1"/>
        <v>46.030000000000008</v>
      </c>
    </row>
    <row r="73" spans="6:6" x14ac:dyDescent="0.25">
      <c r="F73" s="7">
        <f t="shared" si="1"/>
        <v>46.030000000000008</v>
      </c>
    </row>
    <row r="74" spans="6:6" x14ac:dyDescent="0.25">
      <c r="F74" s="7">
        <f t="shared" si="1"/>
        <v>46.030000000000008</v>
      </c>
    </row>
    <row r="75" spans="6:6" x14ac:dyDescent="0.25">
      <c r="F75" s="7">
        <f t="shared" si="1"/>
        <v>46.030000000000008</v>
      </c>
    </row>
    <row r="76" spans="6:6" x14ac:dyDescent="0.25">
      <c r="F76" s="7">
        <f t="shared" si="1"/>
        <v>46.030000000000008</v>
      </c>
    </row>
    <row r="77" spans="6:6" x14ac:dyDescent="0.25">
      <c r="F77" s="7">
        <f t="shared" si="1"/>
        <v>46.030000000000008</v>
      </c>
    </row>
    <row r="78" spans="6:6" x14ac:dyDescent="0.25">
      <c r="F78" s="7">
        <f t="shared" si="1"/>
        <v>46.030000000000008</v>
      </c>
    </row>
    <row r="79" spans="6:6" x14ac:dyDescent="0.25">
      <c r="F79" s="7">
        <f t="shared" si="1"/>
        <v>46.030000000000008</v>
      </c>
    </row>
    <row r="80" spans="6:6" x14ac:dyDescent="0.25">
      <c r="F80" s="7">
        <f t="shared" si="1"/>
        <v>46.030000000000008</v>
      </c>
    </row>
    <row r="81" spans="6:6" x14ac:dyDescent="0.25">
      <c r="F81" s="7">
        <f t="shared" si="1"/>
        <v>46.030000000000008</v>
      </c>
    </row>
    <row r="82" spans="6:6" x14ac:dyDescent="0.25">
      <c r="F82" s="7">
        <f t="shared" si="1"/>
        <v>46.030000000000008</v>
      </c>
    </row>
    <row r="83" spans="6:6" x14ac:dyDescent="0.25">
      <c r="F83" s="7">
        <f t="shared" si="1"/>
        <v>46.030000000000008</v>
      </c>
    </row>
    <row r="84" spans="6:6" x14ac:dyDescent="0.25">
      <c r="F84" s="7">
        <f t="shared" si="1"/>
        <v>46.030000000000008</v>
      </c>
    </row>
    <row r="85" spans="6:6" x14ac:dyDescent="0.25">
      <c r="F85" s="7">
        <f t="shared" si="1"/>
        <v>46.030000000000008</v>
      </c>
    </row>
    <row r="86" spans="6:6" x14ac:dyDescent="0.25">
      <c r="F86" s="7">
        <f t="shared" si="1"/>
        <v>46.030000000000008</v>
      </c>
    </row>
    <row r="87" spans="6:6" x14ac:dyDescent="0.25">
      <c r="F87" s="7">
        <f t="shared" si="1"/>
        <v>46.030000000000008</v>
      </c>
    </row>
    <row r="88" spans="6:6" x14ac:dyDescent="0.25">
      <c r="F88" s="7">
        <f t="shared" si="1"/>
        <v>46.030000000000008</v>
      </c>
    </row>
    <row r="89" spans="6:6" x14ac:dyDescent="0.25">
      <c r="F89" s="7">
        <f t="shared" si="1"/>
        <v>46.030000000000008</v>
      </c>
    </row>
    <row r="90" spans="6:6" x14ac:dyDescent="0.25">
      <c r="F90" s="7">
        <f t="shared" si="1"/>
        <v>46.030000000000008</v>
      </c>
    </row>
    <row r="91" spans="6:6" x14ac:dyDescent="0.25">
      <c r="F91" s="7">
        <f t="shared" si="1"/>
        <v>46.030000000000008</v>
      </c>
    </row>
    <row r="92" spans="6:6" x14ac:dyDescent="0.25">
      <c r="F92" s="7">
        <f t="shared" si="1"/>
        <v>46.030000000000008</v>
      </c>
    </row>
    <row r="93" spans="6:6" x14ac:dyDescent="0.25">
      <c r="F93" s="7">
        <f t="shared" si="1"/>
        <v>46.030000000000008</v>
      </c>
    </row>
    <row r="94" spans="6:6" x14ac:dyDescent="0.25">
      <c r="F94" s="7">
        <f t="shared" si="1"/>
        <v>46.030000000000008</v>
      </c>
    </row>
    <row r="95" spans="6:6" x14ac:dyDescent="0.25">
      <c r="F95" s="7">
        <f t="shared" si="1"/>
        <v>46.030000000000008</v>
      </c>
    </row>
    <row r="96" spans="6:6" x14ac:dyDescent="0.25">
      <c r="F96" s="7">
        <f t="shared" si="1"/>
        <v>46.030000000000008</v>
      </c>
    </row>
    <row r="97" spans="6:6" x14ac:dyDescent="0.25">
      <c r="F97" s="7">
        <f t="shared" si="1"/>
        <v>46.030000000000008</v>
      </c>
    </row>
    <row r="98" spans="6:6" x14ac:dyDescent="0.25">
      <c r="F98" s="7">
        <f t="shared" si="1"/>
        <v>46.030000000000008</v>
      </c>
    </row>
    <row r="99" spans="6:6" x14ac:dyDescent="0.25">
      <c r="F99" s="7">
        <f t="shared" si="1"/>
        <v>46.030000000000008</v>
      </c>
    </row>
    <row r="100" spans="6:6" x14ac:dyDescent="0.25">
      <c r="F100" s="7">
        <f t="shared" si="1"/>
        <v>46.030000000000008</v>
      </c>
    </row>
    <row r="101" spans="6:6" x14ac:dyDescent="0.25">
      <c r="F101" s="7">
        <f t="shared" si="1"/>
        <v>46.030000000000008</v>
      </c>
    </row>
    <row r="102" spans="6:6" x14ac:dyDescent="0.25">
      <c r="F102" s="7">
        <f t="shared" si="1"/>
        <v>46.030000000000008</v>
      </c>
    </row>
    <row r="103" spans="6:6" x14ac:dyDescent="0.25">
      <c r="F103" s="7">
        <f t="shared" si="1"/>
        <v>46.030000000000008</v>
      </c>
    </row>
    <row r="104" spans="6:6" x14ac:dyDescent="0.25">
      <c r="F104" s="7">
        <f t="shared" si="1"/>
        <v>46.030000000000008</v>
      </c>
    </row>
    <row r="105" spans="6:6" x14ac:dyDescent="0.25">
      <c r="F105" s="7">
        <f t="shared" si="1"/>
        <v>46.030000000000008</v>
      </c>
    </row>
    <row r="106" spans="6:6" x14ac:dyDescent="0.25">
      <c r="F106" s="7">
        <f t="shared" si="1"/>
        <v>46.030000000000008</v>
      </c>
    </row>
    <row r="107" spans="6:6" x14ac:dyDescent="0.25">
      <c r="F107" s="7">
        <f t="shared" si="1"/>
        <v>46.030000000000008</v>
      </c>
    </row>
    <row r="108" spans="6:6" x14ac:dyDescent="0.25">
      <c r="F108" s="7">
        <f t="shared" si="1"/>
        <v>46.030000000000008</v>
      </c>
    </row>
    <row r="109" spans="6:6" x14ac:dyDescent="0.25">
      <c r="F109" s="7">
        <f t="shared" si="1"/>
        <v>46.030000000000008</v>
      </c>
    </row>
    <row r="110" spans="6:6" x14ac:dyDescent="0.25">
      <c r="F110" s="7">
        <f t="shared" si="1"/>
        <v>46.030000000000008</v>
      </c>
    </row>
    <row r="111" spans="6:6" x14ac:dyDescent="0.25">
      <c r="F111" s="7">
        <f t="shared" si="1"/>
        <v>46.030000000000008</v>
      </c>
    </row>
    <row r="112" spans="6:6" x14ac:dyDescent="0.25">
      <c r="F112" s="7">
        <f t="shared" si="1"/>
        <v>46.030000000000008</v>
      </c>
    </row>
    <row r="113" spans="6:6" x14ac:dyDescent="0.25">
      <c r="F113" s="7">
        <f t="shared" si="1"/>
        <v>46.030000000000008</v>
      </c>
    </row>
    <row r="114" spans="6:6" x14ac:dyDescent="0.25">
      <c r="F114" s="7">
        <f t="shared" si="1"/>
        <v>46.030000000000008</v>
      </c>
    </row>
    <row r="115" spans="6:6" x14ac:dyDescent="0.25">
      <c r="F115" s="7">
        <f t="shared" si="1"/>
        <v>46.030000000000008</v>
      </c>
    </row>
    <row r="116" spans="6:6" x14ac:dyDescent="0.25">
      <c r="F116" s="7">
        <f t="shared" si="1"/>
        <v>46.030000000000008</v>
      </c>
    </row>
    <row r="117" spans="6:6" x14ac:dyDescent="0.25">
      <c r="F117" s="7">
        <f t="shared" si="1"/>
        <v>46.030000000000008</v>
      </c>
    </row>
    <row r="118" spans="6:6" x14ac:dyDescent="0.25">
      <c r="F118" s="7">
        <f t="shared" si="1"/>
        <v>46.030000000000008</v>
      </c>
    </row>
    <row r="119" spans="6:6" x14ac:dyDescent="0.25">
      <c r="F119" s="7">
        <f t="shared" si="1"/>
        <v>46.030000000000008</v>
      </c>
    </row>
    <row r="120" spans="6:6" x14ac:dyDescent="0.25">
      <c r="F120" s="7">
        <f t="shared" si="1"/>
        <v>46.030000000000008</v>
      </c>
    </row>
    <row r="121" spans="6:6" x14ac:dyDescent="0.25">
      <c r="F121" s="7">
        <f t="shared" si="1"/>
        <v>46.030000000000008</v>
      </c>
    </row>
    <row r="122" spans="6:6" x14ac:dyDescent="0.25">
      <c r="F122" s="7">
        <f t="shared" si="1"/>
        <v>46.030000000000008</v>
      </c>
    </row>
    <row r="123" spans="6:6" x14ac:dyDescent="0.25">
      <c r="F123" s="7">
        <f t="shared" si="1"/>
        <v>46.030000000000008</v>
      </c>
    </row>
    <row r="124" spans="6:6" x14ac:dyDescent="0.25">
      <c r="F124" s="7">
        <f t="shared" si="1"/>
        <v>46.030000000000008</v>
      </c>
    </row>
    <row r="125" spans="6:6" x14ac:dyDescent="0.25">
      <c r="F125" s="7">
        <f t="shared" si="1"/>
        <v>46.030000000000008</v>
      </c>
    </row>
    <row r="126" spans="6:6" x14ac:dyDescent="0.25">
      <c r="F126" s="7">
        <f t="shared" si="1"/>
        <v>46.030000000000008</v>
      </c>
    </row>
    <row r="127" spans="6:6" x14ac:dyDescent="0.25">
      <c r="F127" s="7">
        <f t="shared" si="1"/>
        <v>46.030000000000008</v>
      </c>
    </row>
    <row r="128" spans="6:6" x14ac:dyDescent="0.25">
      <c r="F128" s="7">
        <f t="shared" si="1"/>
        <v>46.030000000000008</v>
      </c>
    </row>
    <row r="129" spans="6:6" x14ac:dyDescent="0.25">
      <c r="F129" s="7">
        <f t="shared" si="1"/>
        <v>46.030000000000008</v>
      </c>
    </row>
    <row r="130" spans="6:6" x14ac:dyDescent="0.25">
      <c r="F130" s="7">
        <f t="shared" si="1"/>
        <v>46.030000000000008</v>
      </c>
    </row>
    <row r="131" spans="6:6" x14ac:dyDescent="0.25">
      <c r="F131" s="7">
        <f t="shared" si="1"/>
        <v>46.030000000000008</v>
      </c>
    </row>
    <row r="132" spans="6:6" x14ac:dyDescent="0.25">
      <c r="F132" s="7">
        <f t="shared" si="1"/>
        <v>46.030000000000008</v>
      </c>
    </row>
    <row r="133" spans="6:6" x14ac:dyDescent="0.25">
      <c r="F133" s="7">
        <f t="shared" si="1"/>
        <v>46.030000000000008</v>
      </c>
    </row>
    <row r="134" spans="6:6" x14ac:dyDescent="0.25">
      <c r="F134" s="7">
        <f t="shared" si="1"/>
        <v>46.030000000000008</v>
      </c>
    </row>
    <row r="135" spans="6:6" x14ac:dyDescent="0.25">
      <c r="F135" s="7">
        <f t="shared" ref="F135:F198" si="2">C135+F134-D135</f>
        <v>46.030000000000008</v>
      </c>
    </row>
    <row r="136" spans="6:6" x14ac:dyDescent="0.25">
      <c r="F136" s="7">
        <f t="shared" si="2"/>
        <v>46.030000000000008</v>
      </c>
    </row>
    <row r="137" spans="6:6" x14ac:dyDescent="0.25">
      <c r="F137" s="7">
        <f t="shared" si="2"/>
        <v>46.030000000000008</v>
      </c>
    </row>
    <row r="138" spans="6:6" x14ac:dyDescent="0.25">
      <c r="F138" s="7">
        <f t="shared" si="2"/>
        <v>46.030000000000008</v>
      </c>
    </row>
    <row r="139" spans="6:6" x14ac:dyDescent="0.25">
      <c r="F139" s="7">
        <f t="shared" si="2"/>
        <v>46.030000000000008</v>
      </c>
    </row>
    <row r="140" spans="6:6" x14ac:dyDescent="0.25">
      <c r="F140" s="7">
        <f t="shared" si="2"/>
        <v>46.030000000000008</v>
      </c>
    </row>
    <row r="141" spans="6:6" x14ac:dyDescent="0.25">
      <c r="F141" s="7">
        <f t="shared" si="2"/>
        <v>46.030000000000008</v>
      </c>
    </row>
    <row r="142" spans="6:6" x14ac:dyDescent="0.25">
      <c r="F142" s="7">
        <f t="shared" si="2"/>
        <v>46.030000000000008</v>
      </c>
    </row>
    <row r="143" spans="6:6" x14ac:dyDescent="0.25">
      <c r="F143" s="7">
        <f t="shared" si="2"/>
        <v>46.030000000000008</v>
      </c>
    </row>
    <row r="144" spans="6:6" x14ac:dyDescent="0.25">
      <c r="F144" s="7">
        <f t="shared" si="2"/>
        <v>46.030000000000008</v>
      </c>
    </row>
    <row r="145" spans="6:6" x14ac:dyDescent="0.25">
      <c r="F145" s="7">
        <f t="shared" si="2"/>
        <v>46.030000000000008</v>
      </c>
    </row>
    <row r="146" spans="6:6" x14ac:dyDescent="0.25">
      <c r="F146" s="7">
        <f t="shared" si="2"/>
        <v>46.030000000000008</v>
      </c>
    </row>
    <row r="147" spans="6:6" x14ac:dyDescent="0.25">
      <c r="F147" s="7">
        <f t="shared" si="2"/>
        <v>46.030000000000008</v>
      </c>
    </row>
    <row r="148" spans="6:6" x14ac:dyDescent="0.25">
      <c r="F148" s="7">
        <f t="shared" si="2"/>
        <v>46.030000000000008</v>
      </c>
    </row>
    <row r="149" spans="6:6" x14ac:dyDescent="0.25">
      <c r="F149" s="7">
        <f t="shared" si="2"/>
        <v>46.030000000000008</v>
      </c>
    </row>
    <row r="150" spans="6:6" x14ac:dyDescent="0.25">
      <c r="F150" s="7">
        <f t="shared" si="2"/>
        <v>46.030000000000008</v>
      </c>
    </row>
    <row r="151" spans="6:6" x14ac:dyDescent="0.25">
      <c r="F151" s="7">
        <f t="shared" si="2"/>
        <v>46.030000000000008</v>
      </c>
    </row>
    <row r="152" spans="6:6" x14ac:dyDescent="0.25">
      <c r="F152" s="7">
        <f t="shared" si="2"/>
        <v>46.030000000000008</v>
      </c>
    </row>
    <row r="153" spans="6:6" x14ac:dyDescent="0.25">
      <c r="F153" s="7">
        <f t="shared" si="2"/>
        <v>46.030000000000008</v>
      </c>
    </row>
    <row r="154" spans="6:6" x14ac:dyDescent="0.25">
      <c r="F154" s="7">
        <f t="shared" si="2"/>
        <v>46.030000000000008</v>
      </c>
    </row>
    <row r="155" spans="6:6" x14ac:dyDescent="0.25">
      <c r="F155" s="7">
        <f t="shared" si="2"/>
        <v>46.030000000000008</v>
      </c>
    </row>
    <row r="156" spans="6:6" x14ac:dyDescent="0.25">
      <c r="F156" s="7">
        <f t="shared" si="2"/>
        <v>46.030000000000008</v>
      </c>
    </row>
    <row r="157" spans="6:6" x14ac:dyDescent="0.25">
      <c r="F157" s="7">
        <f t="shared" si="2"/>
        <v>46.030000000000008</v>
      </c>
    </row>
    <row r="158" spans="6:6" x14ac:dyDescent="0.25">
      <c r="F158" s="7">
        <f t="shared" si="2"/>
        <v>46.030000000000008</v>
      </c>
    </row>
    <row r="159" spans="6:6" x14ac:dyDescent="0.25">
      <c r="F159" s="7">
        <f t="shared" si="2"/>
        <v>46.030000000000008</v>
      </c>
    </row>
    <row r="160" spans="6:6" x14ac:dyDescent="0.25">
      <c r="F160" s="7">
        <f t="shared" si="2"/>
        <v>46.030000000000008</v>
      </c>
    </row>
    <row r="161" spans="6:6" x14ac:dyDescent="0.25">
      <c r="F161" s="7">
        <f t="shared" si="2"/>
        <v>46.030000000000008</v>
      </c>
    </row>
    <row r="162" spans="6:6" x14ac:dyDescent="0.25">
      <c r="F162" s="7">
        <f t="shared" si="2"/>
        <v>46.030000000000008</v>
      </c>
    </row>
    <row r="163" spans="6:6" x14ac:dyDescent="0.25">
      <c r="F163" s="7">
        <f t="shared" si="2"/>
        <v>46.030000000000008</v>
      </c>
    </row>
    <row r="164" spans="6:6" x14ac:dyDescent="0.25">
      <c r="F164" s="7">
        <f t="shared" si="2"/>
        <v>46.030000000000008</v>
      </c>
    </row>
    <row r="165" spans="6:6" x14ac:dyDescent="0.25">
      <c r="F165" s="7">
        <f t="shared" si="2"/>
        <v>46.030000000000008</v>
      </c>
    </row>
    <row r="166" spans="6:6" x14ac:dyDescent="0.25">
      <c r="F166" s="7">
        <f t="shared" si="2"/>
        <v>46.030000000000008</v>
      </c>
    </row>
    <row r="167" spans="6:6" x14ac:dyDescent="0.25">
      <c r="F167" s="7">
        <f t="shared" si="2"/>
        <v>46.030000000000008</v>
      </c>
    </row>
    <row r="168" spans="6:6" x14ac:dyDescent="0.25">
      <c r="F168" s="7">
        <f t="shared" si="2"/>
        <v>46.030000000000008</v>
      </c>
    </row>
    <row r="169" spans="6:6" x14ac:dyDescent="0.25">
      <c r="F169" s="7">
        <f t="shared" si="2"/>
        <v>46.030000000000008</v>
      </c>
    </row>
    <row r="170" spans="6:6" x14ac:dyDescent="0.25">
      <c r="F170" s="7">
        <f t="shared" si="2"/>
        <v>46.030000000000008</v>
      </c>
    </row>
    <row r="171" spans="6:6" x14ac:dyDescent="0.25">
      <c r="F171" s="7">
        <f t="shared" si="2"/>
        <v>46.030000000000008</v>
      </c>
    </row>
    <row r="172" spans="6:6" x14ac:dyDescent="0.25">
      <c r="F172" s="7">
        <f t="shared" si="2"/>
        <v>46.030000000000008</v>
      </c>
    </row>
    <row r="173" spans="6:6" x14ac:dyDescent="0.25">
      <c r="F173" s="7">
        <f t="shared" si="2"/>
        <v>46.030000000000008</v>
      </c>
    </row>
    <row r="174" spans="6:6" x14ac:dyDescent="0.25">
      <c r="F174" s="7">
        <f t="shared" si="2"/>
        <v>46.030000000000008</v>
      </c>
    </row>
    <row r="175" spans="6:6" x14ac:dyDescent="0.25">
      <c r="F175" s="7">
        <f t="shared" si="2"/>
        <v>46.030000000000008</v>
      </c>
    </row>
    <row r="176" spans="6:6" x14ac:dyDescent="0.25">
      <c r="F176" s="7">
        <f t="shared" si="2"/>
        <v>46.030000000000008</v>
      </c>
    </row>
    <row r="177" spans="6:6" x14ac:dyDescent="0.25">
      <c r="F177" s="7">
        <f t="shared" si="2"/>
        <v>46.030000000000008</v>
      </c>
    </row>
    <row r="178" spans="6:6" x14ac:dyDescent="0.25">
      <c r="F178" s="7">
        <f t="shared" si="2"/>
        <v>46.030000000000008</v>
      </c>
    </row>
    <row r="179" spans="6:6" x14ac:dyDescent="0.25">
      <c r="F179" s="7">
        <f t="shared" si="2"/>
        <v>46.030000000000008</v>
      </c>
    </row>
    <row r="180" spans="6:6" x14ac:dyDescent="0.25">
      <c r="F180" s="7">
        <f t="shared" si="2"/>
        <v>46.030000000000008</v>
      </c>
    </row>
    <row r="181" spans="6:6" x14ac:dyDescent="0.25">
      <c r="F181" s="7">
        <f t="shared" si="2"/>
        <v>46.030000000000008</v>
      </c>
    </row>
    <row r="182" spans="6:6" x14ac:dyDescent="0.25">
      <c r="F182" s="7">
        <f t="shared" si="2"/>
        <v>46.030000000000008</v>
      </c>
    </row>
    <row r="183" spans="6:6" x14ac:dyDescent="0.25">
      <c r="F183" s="7">
        <f t="shared" si="2"/>
        <v>46.030000000000008</v>
      </c>
    </row>
    <row r="184" spans="6:6" x14ac:dyDescent="0.25">
      <c r="F184" s="7">
        <f t="shared" si="2"/>
        <v>46.030000000000008</v>
      </c>
    </row>
    <row r="185" spans="6:6" x14ac:dyDescent="0.25">
      <c r="F185" s="7">
        <f t="shared" si="2"/>
        <v>46.030000000000008</v>
      </c>
    </row>
    <row r="186" spans="6:6" x14ac:dyDescent="0.25">
      <c r="F186" s="7">
        <f t="shared" si="2"/>
        <v>46.030000000000008</v>
      </c>
    </row>
    <row r="187" spans="6:6" x14ac:dyDescent="0.25">
      <c r="F187" s="7">
        <f t="shared" si="2"/>
        <v>46.030000000000008</v>
      </c>
    </row>
    <row r="188" spans="6:6" x14ac:dyDescent="0.25">
      <c r="F188" s="7">
        <f t="shared" si="2"/>
        <v>46.030000000000008</v>
      </c>
    </row>
    <row r="189" spans="6:6" x14ac:dyDescent="0.25">
      <c r="F189" s="7">
        <f t="shared" si="2"/>
        <v>46.030000000000008</v>
      </c>
    </row>
    <row r="190" spans="6:6" x14ac:dyDescent="0.25">
      <c r="F190" s="7">
        <f t="shared" si="2"/>
        <v>46.030000000000008</v>
      </c>
    </row>
    <row r="191" spans="6:6" x14ac:dyDescent="0.25">
      <c r="F191" s="7">
        <f t="shared" si="2"/>
        <v>46.030000000000008</v>
      </c>
    </row>
    <row r="192" spans="6:6" x14ac:dyDescent="0.25">
      <c r="F192" s="7">
        <f t="shared" si="2"/>
        <v>46.030000000000008</v>
      </c>
    </row>
    <row r="193" spans="6:6" x14ac:dyDescent="0.25">
      <c r="F193" s="7">
        <f t="shared" si="2"/>
        <v>46.030000000000008</v>
      </c>
    </row>
    <row r="194" spans="6:6" x14ac:dyDescent="0.25">
      <c r="F194" s="7">
        <f t="shared" si="2"/>
        <v>46.030000000000008</v>
      </c>
    </row>
    <row r="195" spans="6:6" x14ac:dyDescent="0.25">
      <c r="F195" s="7">
        <f t="shared" si="2"/>
        <v>46.030000000000008</v>
      </c>
    </row>
    <row r="196" spans="6:6" x14ac:dyDescent="0.25">
      <c r="F196" s="7">
        <f t="shared" si="2"/>
        <v>46.030000000000008</v>
      </c>
    </row>
    <row r="197" spans="6:6" x14ac:dyDescent="0.25">
      <c r="F197" s="7">
        <f t="shared" si="2"/>
        <v>46.030000000000008</v>
      </c>
    </row>
    <row r="198" spans="6:6" x14ac:dyDescent="0.25">
      <c r="F198" s="7">
        <f t="shared" si="2"/>
        <v>46.030000000000008</v>
      </c>
    </row>
    <row r="199" spans="6:6" x14ac:dyDescent="0.25">
      <c r="F199" s="7">
        <f t="shared" ref="F199:F262" si="3">C199+F198-D199</f>
        <v>46.030000000000008</v>
      </c>
    </row>
    <row r="200" spans="6:6" x14ac:dyDescent="0.25">
      <c r="F200" s="7">
        <f t="shared" si="3"/>
        <v>46.030000000000008</v>
      </c>
    </row>
    <row r="201" spans="6:6" x14ac:dyDescent="0.25">
      <c r="F201" s="7">
        <f t="shared" si="3"/>
        <v>46.030000000000008</v>
      </c>
    </row>
    <row r="202" spans="6:6" x14ac:dyDescent="0.25">
      <c r="F202" s="7">
        <f t="shared" si="3"/>
        <v>46.030000000000008</v>
      </c>
    </row>
    <row r="203" spans="6:6" x14ac:dyDescent="0.25">
      <c r="F203" s="7">
        <f t="shared" si="3"/>
        <v>46.030000000000008</v>
      </c>
    </row>
    <row r="204" spans="6:6" x14ac:dyDescent="0.25">
      <c r="F204" s="7">
        <f t="shared" si="3"/>
        <v>46.030000000000008</v>
      </c>
    </row>
    <row r="205" spans="6:6" x14ac:dyDescent="0.25">
      <c r="F205" s="7">
        <f t="shared" si="3"/>
        <v>46.030000000000008</v>
      </c>
    </row>
    <row r="206" spans="6:6" x14ac:dyDescent="0.25">
      <c r="F206" s="7">
        <f t="shared" si="3"/>
        <v>46.030000000000008</v>
      </c>
    </row>
    <row r="207" spans="6:6" x14ac:dyDescent="0.25">
      <c r="F207" s="7">
        <f t="shared" si="3"/>
        <v>46.030000000000008</v>
      </c>
    </row>
    <row r="208" spans="6:6" x14ac:dyDescent="0.25">
      <c r="F208" s="7">
        <f t="shared" si="3"/>
        <v>46.030000000000008</v>
      </c>
    </row>
    <row r="209" spans="6:6" x14ac:dyDescent="0.25">
      <c r="F209" s="7">
        <f t="shared" si="3"/>
        <v>46.030000000000008</v>
      </c>
    </row>
    <row r="210" spans="6:6" x14ac:dyDescent="0.25">
      <c r="F210" s="7">
        <f t="shared" si="3"/>
        <v>46.030000000000008</v>
      </c>
    </row>
    <row r="211" spans="6:6" x14ac:dyDescent="0.25">
      <c r="F211" s="7">
        <f t="shared" si="3"/>
        <v>46.030000000000008</v>
      </c>
    </row>
    <row r="212" spans="6:6" x14ac:dyDescent="0.25">
      <c r="F212" s="7">
        <f t="shared" si="3"/>
        <v>46.030000000000008</v>
      </c>
    </row>
    <row r="213" spans="6:6" x14ac:dyDescent="0.25">
      <c r="F213" s="7">
        <f t="shared" si="3"/>
        <v>46.030000000000008</v>
      </c>
    </row>
    <row r="214" spans="6:6" x14ac:dyDescent="0.25">
      <c r="F214" s="7">
        <f t="shared" si="3"/>
        <v>46.030000000000008</v>
      </c>
    </row>
    <row r="215" spans="6:6" x14ac:dyDescent="0.25">
      <c r="F215" s="7">
        <f t="shared" si="3"/>
        <v>46.030000000000008</v>
      </c>
    </row>
    <row r="216" spans="6:6" x14ac:dyDescent="0.25">
      <c r="F216" s="7">
        <f t="shared" si="3"/>
        <v>46.030000000000008</v>
      </c>
    </row>
    <row r="217" spans="6:6" x14ac:dyDescent="0.25">
      <c r="F217" s="7">
        <f t="shared" si="3"/>
        <v>46.030000000000008</v>
      </c>
    </row>
    <row r="218" spans="6:6" x14ac:dyDescent="0.25">
      <c r="F218" s="7">
        <f t="shared" si="3"/>
        <v>46.030000000000008</v>
      </c>
    </row>
    <row r="219" spans="6:6" x14ac:dyDescent="0.25">
      <c r="F219" s="7">
        <f t="shared" si="3"/>
        <v>46.030000000000008</v>
      </c>
    </row>
    <row r="220" spans="6:6" x14ac:dyDescent="0.25">
      <c r="F220" s="7">
        <f t="shared" si="3"/>
        <v>46.030000000000008</v>
      </c>
    </row>
    <row r="221" spans="6:6" x14ac:dyDescent="0.25">
      <c r="F221" s="7">
        <f t="shared" si="3"/>
        <v>46.030000000000008</v>
      </c>
    </row>
    <row r="222" spans="6:6" x14ac:dyDescent="0.25">
      <c r="F222" s="7">
        <f t="shared" si="3"/>
        <v>46.030000000000008</v>
      </c>
    </row>
    <row r="223" spans="6:6" x14ac:dyDescent="0.25">
      <c r="F223" s="7">
        <f t="shared" si="3"/>
        <v>46.030000000000008</v>
      </c>
    </row>
    <row r="224" spans="6:6" x14ac:dyDescent="0.25">
      <c r="F224" s="7">
        <f t="shared" si="3"/>
        <v>46.030000000000008</v>
      </c>
    </row>
    <row r="225" spans="6:6" x14ac:dyDescent="0.25">
      <c r="F225" s="7">
        <f t="shared" si="3"/>
        <v>46.030000000000008</v>
      </c>
    </row>
    <row r="226" spans="6:6" x14ac:dyDescent="0.25">
      <c r="F226" s="7">
        <f t="shared" si="3"/>
        <v>46.030000000000008</v>
      </c>
    </row>
    <row r="227" spans="6:6" x14ac:dyDescent="0.25">
      <c r="F227" s="7">
        <f t="shared" si="3"/>
        <v>46.030000000000008</v>
      </c>
    </row>
    <row r="228" spans="6:6" x14ac:dyDescent="0.25">
      <c r="F228" s="7">
        <f t="shared" si="3"/>
        <v>46.030000000000008</v>
      </c>
    </row>
    <row r="229" spans="6:6" x14ac:dyDescent="0.25">
      <c r="F229" s="7">
        <f t="shared" si="3"/>
        <v>46.030000000000008</v>
      </c>
    </row>
    <row r="230" spans="6:6" x14ac:dyDescent="0.25">
      <c r="F230" s="7">
        <f t="shared" si="3"/>
        <v>46.030000000000008</v>
      </c>
    </row>
    <row r="231" spans="6:6" x14ac:dyDescent="0.25">
      <c r="F231" s="7">
        <f t="shared" si="3"/>
        <v>46.030000000000008</v>
      </c>
    </row>
    <row r="232" spans="6:6" x14ac:dyDescent="0.25">
      <c r="F232" s="7">
        <f t="shared" si="3"/>
        <v>46.030000000000008</v>
      </c>
    </row>
    <row r="233" spans="6:6" x14ac:dyDescent="0.25">
      <c r="F233" s="7">
        <f t="shared" si="3"/>
        <v>46.030000000000008</v>
      </c>
    </row>
    <row r="234" spans="6:6" x14ac:dyDescent="0.25">
      <c r="F234" s="7">
        <f t="shared" si="3"/>
        <v>46.030000000000008</v>
      </c>
    </row>
    <row r="235" spans="6:6" x14ac:dyDescent="0.25">
      <c r="F235" s="7">
        <f t="shared" si="3"/>
        <v>46.030000000000008</v>
      </c>
    </row>
    <row r="236" spans="6:6" x14ac:dyDescent="0.25">
      <c r="F236" s="7">
        <f t="shared" si="3"/>
        <v>46.030000000000008</v>
      </c>
    </row>
    <row r="237" spans="6:6" x14ac:dyDescent="0.25">
      <c r="F237" s="7">
        <f t="shared" si="3"/>
        <v>46.030000000000008</v>
      </c>
    </row>
    <row r="238" spans="6:6" x14ac:dyDescent="0.25">
      <c r="F238" s="7">
        <f t="shared" si="3"/>
        <v>46.030000000000008</v>
      </c>
    </row>
    <row r="239" spans="6:6" x14ac:dyDescent="0.25">
      <c r="F239" s="7">
        <f t="shared" si="3"/>
        <v>46.030000000000008</v>
      </c>
    </row>
    <row r="240" spans="6:6" x14ac:dyDescent="0.25">
      <c r="F240" s="7">
        <f t="shared" si="3"/>
        <v>46.030000000000008</v>
      </c>
    </row>
    <row r="241" spans="6:6" x14ac:dyDescent="0.25">
      <c r="F241" s="7">
        <f t="shared" si="3"/>
        <v>46.030000000000008</v>
      </c>
    </row>
    <row r="242" spans="6:6" x14ac:dyDescent="0.25">
      <c r="F242" s="7">
        <f t="shared" si="3"/>
        <v>46.030000000000008</v>
      </c>
    </row>
    <row r="243" spans="6:6" x14ac:dyDescent="0.25">
      <c r="F243" s="7">
        <f t="shared" si="3"/>
        <v>46.030000000000008</v>
      </c>
    </row>
    <row r="244" spans="6:6" x14ac:dyDescent="0.25">
      <c r="F244" s="7">
        <f t="shared" si="3"/>
        <v>46.030000000000008</v>
      </c>
    </row>
    <row r="245" spans="6:6" x14ac:dyDescent="0.25">
      <c r="F245" s="7">
        <f t="shared" si="3"/>
        <v>46.030000000000008</v>
      </c>
    </row>
    <row r="246" spans="6:6" x14ac:dyDescent="0.25">
      <c r="F246" s="7">
        <f t="shared" si="3"/>
        <v>46.030000000000008</v>
      </c>
    </row>
    <row r="247" spans="6:6" x14ac:dyDescent="0.25">
      <c r="F247" s="7">
        <f t="shared" si="3"/>
        <v>46.030000000000008</v>
      </c>
    </row>
    <row r="248" spans="6:6" x14ac:dyDescent="0.25">
      <c r="F248" s="7">
        <f t="shared" si="3"/>
        <v>46.030000000000008</v>
      </c>
    </row>
    <row r="249" spans="6:6" x14ac:dyDescent="0.25">
      <c r="F249" s="7">
        <f t="shared" si="3"/>
        <v>46.030000000000008</v>
      </c>
    </row>
    <row r="250" spans="6:6" x14ac:dyDescent="0.25">
      <c r="F250" s="7">
        <f t="shared" si="3"/>
        <v>46.030000000000008</v>
      </c>
    </row>
    <row r="251" spans="6:6" x14ac:dyDescent="0.25">
      <c r="F251" s="7">
        <f t="shared" si="3"/>
        <v>46.030000000000008</v>
      </c>
    </row>
    <row r="252" spans="6:6" x14ac:dyDescent="0.25">
      <c r="F252" s="7">
        <f t="shared" si="3"/>
        <v>46.030000000000008</v>
      </c>
    </row>
    <row r="253" spans="6:6" x14ac:dyDescent="0.25">
      <c r="F253" s="7">
        <f t="shared" si="3"/>
        <v>46.030000000000008</v>
      </c>
    </row>
    <row r="254" spans="6:6" x14ac:dyDescent="0.25">
      <c r="F254" s="7">
        <f t="shared" si="3"/>
        <v>46.030000000000008</v>
      </c>
    </row>
    <row r="255" spans="6:6" x14ac:dyDescent="0.25">
      <c r="F255" s="7">
        <f t="shared" si="3"/>
        <v>46.030000000000008</v>
      </c>
    </row>
    <row r="256" spans="6:6" x14ac:dyDescent="0.25">
      <c r="F256" s="7">
        <f t="shared" si="3"/>
        <v>46.030000000000008</v>
      </c>
    </row>
    <row r="257" spans="6:6" x14ac:dyDescent="0.25">
      <c r="F257" s="7">
        <f t="shared" si="3"/>
        <v>46.030000000000008</v>
      </c>
    </row>
    <row r="258" spans="6:6" x14ac:dyDescent="0.25">
      <c r="F258" s="7">
        <f t="shared" si="3"/>
        <v>46.030000000000008</v>
      </c>
    </row>
    <row r="259" spans="6:6" x14ac:dyDescent="0.25">
      <c r="F259" s="7">
        <f t="shared" si="3"/>
        <v>46.030000000000008</v>
      </c>
    </row>
    <row r="260" spans="6:6" x14ac:dyDescent="0.25">
      <c r="F260" s="7">
        <f t="shared" si="3"/>
        <v>46.030000000000008</v>
      </c>
    </row>
    <row r="261" spans="6:6" x14ac:dyDescent="0.25">
      <c r="F261" s="7">
        <f t="shared" si="3"/>
        <v>46.030000000000008</v>
      </c>
    </row>
    <row r="262" spans="6:6" x14ac:dyDescent="0.25">
      <c r="F262" s="7">
        <f t="shared" si="3"/>
        <v>46.030000000000008</v>
      </c>
    </row>
    <row r="263" spans="6:6" x14ac:dyDescent="0.25">
      <c r="F263" s="7">
        <f t="shared" ref="F263:F326" si="4">C263+F262-D263</f>
        <v>46.030000000000008</v>
      </c>
    </row>
    <row r="264" spans="6:6" x14ac:dyDescent="0.25">
      <c r="F264" s="7">
        <f t="shared" si="4"/>
        <v>46.030000000000008</v>
      </c>
    </row>
    <row r="265" spans="6:6" x14ac:dyDescent="0.25">
      <c r="F265" s="7">
        <f t="shared" si="4"/>
        <v>46.030000000000008</v>
      </c>
    </row>
    <row r="266" spans="6:6" x14ac:dyDescent="0.25">
      <c r="F266" s="7">
        <f t="shared" si="4"/>
        <v>46.030000000000008</v>
      </c>
    </row>
    <row r="267" spans="6:6" x14ac:dyDescent="0.25">
      <c r="F267" s="7">
        <f t="shared" si="4"/>
        <v>46.030000000000008</v>
      </c>
    </row>
    <row r="268" spans="6:6" x14ac:dyDescent="0.25">
      <c r="F268" s="7">
        <f t="shared" si="4"/>
        <v>46.030000000000008</v>
      </c>
    </row>
    <row r="269" spans="6:6" x14ac:dyDescent="0.25">
      <c r="F269" s="7">
        <f t="shared" si="4"/>
        <v>46.030000000000008</v>
      </c>
    </row>
    <row r="270" spans="6:6" x14ac:dyDescent="0.25">
      <c r="F270" s="7">
        <f t="shared" si="4"/>
        <v>46.030000000000008</v>
      </c>
    </row>
    <row r="271" spans="6:6" x14ac:dyDescent="0.25">
      <c r="F271" s="7">
        <f t="shared" si="4"/>
        <v>46.030000000000008</v>
      </c>
    </row>
    <row r="272" spans="6:6" x14ac:dyDescent="0.25">
      <c r="F272" s="7">
        <f t="shared" si="4"/>
        <v>46.030000000000008</v>
      </c>
    </row>
    <row r="273" spans="6:6" x14ac:dyDescent="0.25">
      <c r="F273" s="7">
        <f t="shared" si="4"/>
        <v>46.030000000000008</v>
      </c>
    </row>
    <row r="274" spans="6:6" x14ac:dyDescent="0.25">
      <c r="F274" s="7">
        <f t="shared" si="4"/>
        <v>46.030000000000008</v>
      </c>
    </row>
    <row r="275" spans="6:6" x14ac:dyDescent="0.25">
      <c r="F275" s="7">
        <f t="shared" si="4"/>
        <v>46.030000000000008</v>
      </c>
    </row>
    <row r="276" spans="6:6" x14ac:dyDescent="0.25">
      <c r="F276" s="7">
        <f t="shared" si="4"/>
        <v>46.030000000000008</v>
      </c>
    </row>
    <row r="277" spans="6:6" x14ac:dyDescent="0.25">
      <c r="F277" s="7">
        <f t="shared" si="4"/>
        <v>46.030000000000008</v>
      </c>
    </row>
    <row r="278" spans="6:6" x14ac:dyDescent="0.25">
      <c r="F278" s="7">
        <f t="shared" si="4"/>
        <v>46.030000000000008</v>
      </c>
    </row>
    <row r="279" spans="6:6" x14ac:dyDescent="0.25">
      <c r="F279" s="7">
        <f t="shared" si="4"/>
        <v>46.030000000000008</v>
      </c>
    </row>
    <row r="280" spans="6:6" x14ac:dyDescent="0.25">
      <c r="F280" s="7">
        <f t="shared" si="4"/>
        <v>46.030000000000008</v>
      </c>
    </row>
    <row r="281" spans="6:6" x14ac:dyDescent="0.25">
      <c r="F281" s="7">
        <f t="shared" si="4"/>
        <v>46.030000000000008</v>
      </c>
    </row>
    <row r="282" spans="6:6" x14ac:dyDescent="0.25">
      <c r="F282" s="7">
        <f t="shared" si="4"/>
        <v>46.030000000000008</v>
      </c>
    </row>
    <row r="283" spans="6:6" x14ac:dyDescent="0.25">
      <c r="F283" s="7">
        <f t="shared" si="4"/>
        <v>46.030000000000008</v>
      </c>
    </row>
    <row r="284" spans="6:6" x14ac:dyDescent="0.25">
      <c r="F284" s="7">
        <f t="shared" si="4"/>
        <v>46.030000000000008</v>
      </c>
    </row>
    <row r="285" spans="6:6" x14ac:dyDescent="0.25">
      <c r="F285" s="7">
        <f t="shared" si="4"/>
        <v>46.030000000000008</v>
      </c>
    </row>
    <row r="286" spans="6:6" x14ac:dyDescent="0.25">
      <c r="F286" s="7">
        <f t="shared" si="4"/>
        <v>46.030000000000008</v>
      </c>
    </row>
    <row r="287" spans="6:6" x14ac:dyDescent="0.25">
      <c r="F287" s="7">
        <f t="shared" si="4"/>
        <v>46.030000000000008</v>
      </c>
    </row>
    <row r="288" spans="6:6" x14ac:dyDescent="0.25">
      <c r="F288" s="7">
        <f t="shared" si="4"/>
        <v>46.030000000000008</v>
      </c>
    </row>
    <row r="289" spans="6:6" x14ac:dyDescent="0.25">
      <c r="F289" s="7">
        <f t="shared" si="4"/>
        <v>46.030000000000008</v>
      </c>
    </row>
    <row r="290" spans="6:6" x14ac:dyDescent="0.25">
      <c r="F290" s="7">
        <f t="shared" si="4"/>
        <v>46.030000000000008</v>
      </c>
    </row>
    <row r="291" spans="6:6" x14ac:dyDescent="0.25">
      <c r="F291" s="7">
        <f t="shared" si="4"/>
        <v>46.030000000000008</v>
      </c>
    </row>
    <row r="292" spans="6:6" x14ac:dyDescent="0.25">
      <c r="F292" s="7">
        <f t="shared" si="4"/>
        <v>46.030000000000008</v>
      </c>
    </row>
    <row r="293" spans="6:6" x14ac:dyDescent="0.25">
      <c r="F293" s="7">
        <f t="shared" si="4"/>
        <v>46.030000000000008</v>
      </c>
    </row>
    <row r="294" spans="6:6" x14ac:dyDescent="0.25">
      <c r="F294" s="7">
        <f t="shared" si="4"/>
        <v>46.030000000000008</v>
      </c>
    </row>
    <row r="295" spans="6:6" x14ac:dyDescent="0.25">
      <c r="F295" s="7">
        <f t="shared" si="4"/>
        <v>46.030000000000008</v>
      </c>
    </row>
    <row r="296" spans="6:6" x14ac:dyDescent="0.25">
      <c r="F296" s="7">
        <f t="shared" si="4"/>
        <v>46.030000000000008</v>
      </c>
    </row>
    <row r="297" spans="6:6" x14ac:dyDescent="0.25">
      <c r="F297" s="7">
        <f t="shared" si="4"/>
        <v>46.030000000000008</v>
      </c>
    </row>
    <row r="298" spans="6:6" x14ac:dyDescent="0.25">
      <c r="F298" s="7">
        <f t="shared" si="4"/>
        <v>46.030000000000008</v>
      </c>
    </row>
    <row r="299" spans="6:6" x14ac:dyDescent="0.25">
      <c r="F299" s="7">
        <f t="shared" si="4"/>
        <v>46.030000000000008</v>
      </c>
    </row>
    <row r="300" spans="6:6" x14ac:dyDescent="0.25">
      <c r="F300" s="7">
        <f t="shared" si="4"/>
        <v>46.030000000000008</v>
      </c>
    </row>
    <row r="301" spans="6:6" x14ac:dyDescent="0.25">
      <c r="F301" s="7">
        <f t="shared" si="4"/>
        <v>46.030000000000008</v>
      </c>
    </row>
    <row r="302" spans="6:6" x14ac:dyDescent="0.25">
      <c r="F302" s="7">
        <f t="shared" si="4"/>
        <v>46.030000000000008</v>
      </c>
    </row>
    <row r="303" spans="6:6" x14ac:dyDescent="0.25">
      <c r="F303" s="7">
        <f t="shared" si="4"/>
        <v>46.030000000000008</v>
      </c>
    </row>
    <row r="304" spans="6:6" x14ac:dyDescent="0.25">
      <c r="F304" s="7">
        <f t="shared" si="4"/>
        <v>46.030000000000008</v>
      </c>
    </row>
    <row r="305" spans="6:6" x14ac:dyDescent="0.25">
      <c r="F305" s="7">
        <f t="shared" si="4"/>
        <v>46.030000000000008</v>
      </c>
    </row>
    <row r="306" spans="6:6" x14ac:dyDescent="0.25">
      <c r="F306" s="7">
        <f t="shared" si="4"/>
        <v>46.030000000000008</v>
      </c>
    </row>
    <row r="307" spans="6:6" x14ac:dyDescent="0.25">
      <c r="F307" s="7">
        <f t="shared" si="4"/>
        <v>46.030000000000008</v>
      </c>
    </row>
    <row r="308" spans="6:6" x14ac:dyDescent="0.25">
      <c r="F308" s="7">
        <f t="shared" si="4"/>
        <v>46.030000000000008</v>
      </c>
    </row>
    <row r="309" spans="6:6" x14ac:dyDescent="0.25">
      <c r="F309" s="7">
        <f t="shared" si="4"/>
        <v>46.030000000000008</v>
      </c>
    </row>
    <row r="310" spans="6:6" x14ac:dyDescent="0.25">
      <c r="F310" s="7">
        <f t="shared" si="4"/>
        <v>46.030000000000008</v>
      </c>
    </row>
    <row r="311" spans="6:6" x14ac:dyDescent="0.25">
      <c r="F311" s="7">
        <f t="shared" si="4"/>
        <v>46.030000000000008</v>
      </c>
    </row>
    <row r="312" spans="6:6" x14ac:dyDescent="0.25">
      <c r="F312" s="7">
        <f t="shared" si="4"/>
        <v>46.030000000000008</v>
      </c>
    </row>
    <row r="313" spans="6:6" x14ac:dyDescent="0.25">
      <c r="F313" s="7">
        <f t="shared" si="4"/>
        <v>46.030000000000008</v>
      </c>
    </row>
    <row r="314" spans="6:6" x14ac:dyDescent="0.25">
      <c r="F314" s="7">
        <f t="shared" si="4"/>
        <v>46.030000000000008</v>
      </c>
    </row>
    <row r="315" spans="6:6" x14ac:dyDescent="0.25">
      <c r="F315" s="7">
        <f t="shared" si="4"/>
        <v>46.030000000000008</v>
      </c>
    </row>
    <row r="316" spans="6:6" x14ac:dyDescent="0.25">
      <c r="F316" s="7">
        <f t="shared" si="4"/>
        <v>46.030000000000008</v>
      </c>
    </row>
    <row r="317" spans="6:6" x14ac:dyDescent="0.25">
      <c r="F317" s="7">
        <f t="shared" si="4"/>
        <v>46.030000000000008</v>
      </c>
    </row>
    <row r="318" spans="6:6" x14ac:dyDescent="0.25">
      <c r="F318" s="7">
        <f t="shared" si="4"/>
        <v>46.030000000000008</v>
      </c>
    </row>
    <row r="319" spans="6:6" x14ac:dyDescent="0.25">
      <c r="F319" s="7">
        <f t="shared" si="4"/>
        <v>46.030000000000008</v>
      </c>
    </row>
    <row r="320" spans="6:6" x14ac:dyDescent="0.25">
      <c r="F320" s="7">
        <f t="shared" si="4"/>
        <v>46.030000000000008</v>
      </c>
    </row>
    <row r="321" spans="6:6" x14ac:dyDescent="0.25">
      <c r="F321" s="7">
        <f t="shared" si="4"/>
        <v>46.030000000000008</v>
      </c>
    </row>
    <row r="322" spans="6:6" x14ac:dyDescent="0.25">
      <c r="F322" s="7">
        <f t="shared" si="4"/>
        <v>46.030000000000008</v>
      </c>
    </row>
    <row r="323" spans="6:6" x14ac:dyDescent="0.25">
      <c r="F323" s="7">
        <f t="shared" si="4"/>
        <v>46.030000000000008</v>
      </c>
    </row>
    <row r="324" spans="6:6" x14ac:dyDescent="0.25">
      <c r="F324" s="7">
        <f t="shared" si="4"/>
        <v>46.030000000000008</v>
      </c>
    </row>
    <row r="325" spans="6:6" x14ac:dyDescent="0.25">
      <c r="F325" s="7">
        <f t="shared" si="4"/>
        <v>46.030000000000008</v>
      </c>
    </row>
    <row r="326" spans="6:6" x14ac:dyDescent="0.25">
      <c r="F326" s="7">
        <f t="shared" si="4"/>
        <v>46.030000000000008</v>
      </c>
    </row>
    <row r="327" spans="6:6" x14ac:dyDescent="0.25">
      <c r="F327" s="7">
        <f t="shared" ref="F327:F390" si="5">C327+F326-D327</f>
        <v>46.030000000000008</v>
      </c>
    </row>
    <row r="328" spans="6:6" x14ac:dyDescent="0.25">
      <c r="F328" s="7">
        <f t="shared" si="5"/>
        <v>46.030000000000008</v>
      </c>
    </row>
    <row r="329" spans="6:6" x14ac:dyDescent="0.25">
      <c r="F329" s="7">
        <f t="shared" si="5"/>
        <v>46.030000000000008</v>
      </c>
    </row>
    <row r="330" spans="6:6" x14ac:dyDescent="0.25">
      <c r="F330" s="7">
        <f t="shared" si="5"/>
        <v>46.030000000000008</v>
      </c>
    </row>
    <row r="331" spans="6:6" x14ac:dyDescent="0.25">
      <c r="F331" s="7">
        <f t="shared" si="5"/>
        <v>46.030000000000008</v>
      </c>
    </row>
    <row r="332" spans="6:6" x14ac:dyDescent="0.25">
      <c r="F332" s="7">
        <f t="shared" si="5"/>
        <v>46.030000000000008</v>
      </c>
    </row>
    <row r="333" spans="6:6" x14ac:dyDescent="0.25">
      <c r="F333" s="7">
        <f t="shared" si="5"/>
        <v>46.030000000000008</v>
      </c>
    </row>
    <row r="334" spans="6:6" x14ac:dyDescent="0.25">
      <c r="F334" s="7">
        <f t="shared" si="5"/>
        <v>46.030000000000008</v>
      </c>
    </row>
    <row r="335" spans="6:6" x14ac:dyDescent="0.25">
      <c r="F335" s="7">
        <f t="shared" si="5"/>
        <v>46.030000000000008</v>
      </c>
    </row>
    <row r="336" spans="6:6" x14ac:dyDescent="0.25">
      <c r="F336" s="7">
        <f t="shared" si="5"/>
        <v>46.030000000000008</v>
      </c>
    </row>
    <row r="337" spans="6:6" x14ac:dyDescent="0.25">
      <c r="F337" s="7">
        <f t="shared" si="5"/>
        <v>46.030000000000008</v>
      </c>
    </row>
    <row r="338" spans="6:6" x14ac:dyDescent="0.25">
      <c r="F338" s="7">
        <f t="shared" si="5"/>
        <v>46.030000000000008</v>
      </c>
    </row>
    <row r="339" spans="6:6" x14ac:dyDescent="0.25">
      <c r="F339" s="7">
        <f t="shared" si="5"/>
        <v>46.030000000000008</v>
      </c>
    </row>
    <row r="340" spans="6:6" x14ac:dyDescent="0.25">
      <c r="F340" s="7">
        <f t="shared" si="5"/>
        <v>46.030000000000008</v>
      </c>
    </row>
    <row r="341" spans="6:6" x14ac:dyDescent="0.25">
      <c r="F341" s="7">
        <f t="shared" si="5"/>
        <v>46.030000000000008</v>
      </c>
    </row>
    <row r="342" spans="6:6" x14ac:dyDescent="0.25">
      <c r="F342" s="7">
        <f t="shared" si="5"/>
        <v>46.030000000000008</v>
      </c>
    </row>
    <row r="343" spans="6:6" x14ac:dyDescent="0.25">
      <c r="F343" s="7">
        <f t="shared" si="5"/>
        <v>46.030000000000008</v>
      </c>
    </row>
    <row r="344" spans="6:6" x14ac:dyDescent="0.25">
      <c r="F344" s="7">
        <f t="shared" si="5"/>
        <v>46.030000000000008</v>
      </c>
    </row>
    <row r="345" spans="6:6" x14ac:dyDescent="0.25">
      <c r="F345" s="7">
        <f t="shared" si="5"/>
        <v>46.030000000000008</v>
      </c>
    </row>
    <row r="346" spans="6:6" x14ac:dyDescent="0.25">
      <c r="F346" s="7">
        <f t="shared" si="5"/>
        <v>46.030000000000008</v>
      </c>
    </row>
    <row r="347" spans="6:6" x14ac:dyDescent="0.25">
      <c r="F347" s="7">
        <f t="shared" si="5"/>
        <v>46.030000000000008</v>
      </c>
    </row>
    <row r="348" spans="6:6" x14ac:dyDescent="0.25">
      <c r="F348" s="7">
        <f t="shared" si="5"/>
        <v>46.030000000000008</v>
      </c>
    </row>
    <row r="349" spans="6:6" x14ac:dyDescent="0.25">
      <c r="F349" s="7">
        <f t="shared" si="5"/>
        <v>46.030000000000008</v>
      </c>
    </row>
    <row r="350" spans="6:6" x14ac:dyDescent="0.25">
      <c r="F350" s="7">
        <f t="shared" si="5"/>
        <v>46.030000000000008</v>
      </c>
    </row>
    <row r="351" spans="6:6" x14ac:dyDescent="0.25">
      <c r="F351" s="7">
        <f t="shared" si="5"/>
        <v>46.030000000000008</v>
      </c>
    </row>
    <row r="352" spans="6:6" x14ac:dyDescent="0.25">
      <c r="F352" s="7">
        <f t="shared" si="5"/>
        <v>46.030000000000008</v>
      </c>
    </row>
    <row r="353" spans="6:6" x14ac:dyDescent="0.25">
      <c r="F353" s="7">
        <f t="shared" si="5"/>
        <v>46.030000000000008</v>
      </c>
    </row>
    <row r="354" spans="6:6" x14ac:dyDescent="0.25">
      <c r="F354" s="7">
        <f t="shared" si="5"/>
        <v>46.030000000000008</v>
      </c>
    </row>
    <row r="355" spans="6:6" x14ac:dyDescent="0.25">
      <c r="F355" s="7">
        <f t="shared" si="5"/>
        <v>46.030000000000008</v>
      </c>
    </row>
    <row r="356" spans="6:6" x14ac:dyDescent="0.25">
      <c r="F356" s="7">
        <f t="shared" si="5"/>
        <v>46.030000000000008</v>
      </c>
    </row>
    <row r="357" spans="6:6" x14ac:dyDescent="0.25">
      <c r="F357" s="7">
        <f t="shared" si="5"/>
        <v>46.030000000000008</v>
      </c>
    </row>
    <row r="358" spans="6:6" x14ac:dyDescent="0.25">
      <c r="F358" s="7">
        <f t="shared" si="5"/>
        <v>46.030000000000008</v>
      </c>
    </row>
    <row r="359" spans="6:6" x14ac:dyDescent="0.25">
      <c r="F359" s="7">
        <f t="shared" si="5"/>
        <v>46.030000000000008</v>
      </c>
    </row>
    <row r="360" spans="6:6" x14ac:dyDescent="0.25">
      <c r="F360" s="7">
        <f t="shared" si="5"/>
        <v>46.030000000000008</v>
      </c>
    </row>
    <row r="361" spans="6:6" x14ac:dyDescent="0.25">
      <c r="F361" s="7">
        <f t="shared" si="5"/>
        <v>46.030000000000008</v>
      </c>
    </row>
    <row r="362" spans="6:6" x14ac:dyDescent="0.25">
      <c r="F362" s="7">
        <f t="shared" si="5"/>
        <v>46.030000000000008</v>
      </c>
    </row>
    <row r="363" spans="6:6" x14ac:dyDescent="0.25">
      <c r="F363" s="7">
        <f t="shared" si="5"/>
        <v>46.030000000000008</v>
      </c>
    </row>
    <row r="364" spans="6:6" x14ac:dyDescent="0.25">
      <c r="F364" s="7">
        <f t="shared" si="5"/>
        <v>46.030000000000008</v>
      </c>
    </row>
    <row r="365" spans="6:6" x14ac:dyDescent="0.25">
      <c r="F365" s="7">
        <f t="shared" si="5"/>
        <v>46.030000000000008</v>
      </c>
    </row>
    <row r="366" spans="6:6" x14ac:dyDescent="0.25">
      <c r="F366" s="7">
        <f t="shared" si="5"/>
        <v>46.030000000000008</v>
      </c>
    </row>
    <row r="367" spans="6:6" x14ac:dyDescent="0.25">
      <c r="F367" s="7">
        <f t="shared" si="5"/>
        <v>46.030000000000008</v>
      </c>
    </row>
    <row r="368" spans="6:6" x14ac:dyDescent="0.25">
      <c r="F368" s="7">
        <f t="shared" si="5"/>
        <v>46.030000000000008</v>
      </c>
    </row>
    <row r="369" spans="6:6" x14ac:dyDescent="0.25">
      <c r="F369" s="7">
        <f t="shared" si="5"/>
        <v>46.030000000000008</v>
      </c>
    </row>
    <row r="370" spans="6:6" x14ac:dyDescent="0.25">
      <c r="F370" s="7">
        <f t="shared" si="5"/>
        <v>46.030000000000008</v>
      </c>
    </row>
    <row r="371" spans="6:6" x14ac:dyDescent="0.25">
      <c r="F371" s="7">
        <f t="shared" si="5"/>
        <v>46.030000000000008</v>
      </c>
    </row>
    <row r="372" spans="6:6" x14ac:dyDescent="0.25">
      <c r="F372" s="7">
        <f t="shared" si="5"/>
        <v>46.030000000000008</v>
      </c>
    </row>
    <row r="373" spans="6:6" x14ac:dyDescent="0.25">
      <c r="F373" s="7">
        <f t="shared" si="5"/>
        <v>46.030000000000008</v>
      </c>
    </row>
    <row r="374" spans="6:6" x14ac:dyDescent="0.25">
      <c r="F374" s="7">
        <f t="shared" si="5"/>
        <v>46.030000000000008</v>
      </c>
    </row>
    <row r="375" spans="6:6" x14ac:dyDescent="0.25">
      <c r="F375" s="7">
        <f t="shared" si="5"/>
        <v>46.030000000000008</v>
      </c>
    </row>
    <row r="376" spans="6:6" x14ac:dyDescent="0.25">
      <c r="F376" s="7">
        <f t="shared" si="5"/>
        <v>46.030000000000008</v>
      </c>
    </row>
    <row r="377" spans="6:6" x14ac:dyDescent="0.25">
      <c r="F377" s="7">
        <f t="shared" si="5"/>
        <v>46.030000000000008</v>
      </c>
    </row>
    <row r="378" spans="6:6" x14ac:dyDescent="0.25">
      <c r="F378" s="7">
        <f t="shared" si="5"/>
        <v>46.030000000000008</v>
      </c>
    </row>
    <row r="379" spans="6:6" x14ac:dyDescent="0.25">
      <c r="F379" s="7">
        <f t="shared" si="5"/>
        <v>46.030000000000008</v>
      </c>
    </row>
    <row r="380" spans="6:6" x14ac:dyDescent="0.25">
      <c r="F380" s="7">
        <f t="shared" si="5"/>
        <v>46.030000000000008</v>
      </c>
    </row>
    <row r="381" spans="6:6" x14ac:dyDescent="0.25">
      <c r="F381" s="7">
        <f t="shared" si="5"/>
        <v>46.030000000000008</v>
      </c>
    </row>
    <row r="382" spans="6:6" x14ac:dyDescent="0.25">
      <c r="F382" s="7">
        <f t="shared" si="5"/>
        <v>46.030000000000008</v>
      </c>
    </row>
    <row r="383" spans="6:6" x14ac:dyDescent="0.25">
      <c r="F383" s="7">
        <f t="shared" si="5"/>
        <v>46.030000000000008</v>
      </c>
    </row>
    <row r="384" spans="6:6" x14ac:dyDescent="0.25">
      <c r="F384" s="7">
        <f t="shared" si="5"/>
        <v>46.030000000000008</v>
      </c>
    </row>
    <row r="385" spans="6:6" x14ac:dyDescent="0.25">
      <c r="F385" s="7">
        <f t="shared" si="5"/>
        <v>46.030000000000008</v>
      </c>
    </row>
    <row r="386" spans="6:6" x14ac:dyDescent="0.25">
      <c r="F386" s="7">
        <f t="shared" si="5"/>
        <v>46.030000000000008</v>
      </c>
    </row>
    <row r="387" spans="6:6" x14ac:dyDescent="0.25">
      <c r="F387" s="7">
        <f t="shared" si="5"/>
        <v>46.030000000000008</v>
      </c>
    </row>
    <row r="388" spans="6:6" x14ac:dyDescent="0.25">
      <c r="F388" s="7">
        <f t="shared" si="5"/>
        <v>46.030000000000008</v>
      </c>
    </row>
    <row r="389" spans="6:6" x14ac:dyDescent="0.25">
      <c r="F389" s="7">
        <f t="shared" si="5"/>
        <v>46.030000000000008</v>
      </c>
    </row>
    <row r="390" spans="6:6" x14ac:dyDescent="0.25">
      <c r="F390" s="7">
        <f t="shared" si="5"/>
        <v>46.030000000000008</v>
      </c>
    </row>
    <row r="391" spans="6:6" x14ac:dyDescent="0.25">
      <c r="F391" s="7">
        <f t="shared" ref="F391:F449" si="6">C391+F390-D391</f>
        <v>46.030000000000008</v>
      </c>
    </row>
    <row r="392" spans="6:6" x14ac:dyDescent="0.25">
      <c r="F392" s="7">
        <f t="shared" si="6"/>
        <v>46.030000000000008</v>
      </c>
    </row>
    <row r="393" spans="6:6" x14ac:dyDescent="0.25">
      <c r="F393" s="7">
        <f t="shared" si="6"/>
        <v>46.030000000000008</v>
      </c>
    </row>
    <row r="394" spans="6:6" x14ac:dyDescent="0.25">
      <c r="F394" s="7">
        <f t="shared" si="6"/>
        <v>46.030000000000008</v>
      </c>
    </row>
    <row r="395" spans="6:6" x14ac:dyDescent="0.25">
      <c r="F395" s="7">
        <f t="shared" si="6"/>
        <v>46.030000000000008</v>
      </c>
    </row>
    <row r="396" spans="6:6" x14ac:dyDescent="0.25">
      <c r="F396" s="7">
        <f t="shared" si="6"/>
        <v>46.030000000000008</v>
      </c>
    </row>
    <row r="397" spans="6:6" x14ac:dyDescent="0.25">
      <c r="F397" s="7">
        <f t="shared" si="6"/>
        <v>46.030000000000008</v>
      </c>
    </row>
    <row r="398" spans="6:6" x14ac:dyDescent="0.25">
      <c r="F398" s="7">
        <f t="shared" si="6"/>
        <v>46.030000000000008</v>
      </c>
    </row>
    <row r="399" spans="6:6" x14ac:dyDescent="0.25">
      <c r="F399" s="7">
        <f t="shared" si="6"/>
        <v>46.030000000000008</v>
      </c>
    </row>
    <row r="400" spans="6:6" x14ac:dyDescent="0.25">
      <c r="F400" s="7">
        <f t="shared" si="6"/>
        <v>46.030000000000008</v>
      </c>
    </row>
    <row r="401" spans="6:6" x14ac:dyDescent="0.25">
      <c r="F401" s="7">
        <f t="shared" si="6"/>
        <v>46.030000000000008</v>
      </c>
    </row>
    <row r="402" spans="6:6" x14ac:dyDescent="0.25">
      <c r="F402" s="7">
        <f t="shared" si="6"/>
        <v>46.030000000000008</v>
      </c>
    </row>
    <row r="403" spans="6:6" x14ac:dyDescent="0.25">
      <c r="F403" s="7">
        <f t="shared" si="6"/>
        <v>46.030000000000008</v>
      </c>
    </row>
    <row r="404" spans="6:6" x14ac:dyDescent="0.25">
      <c r="F404" s="7">
        <f t="shared" si="6"/>
        <v>46.030000000000008</v>
      </c>
    </row>
    <row r="405" spans="6:6" x14ac:dyDescent="0.25">
      <c r="F405" s="7">
        <f t="shared" si="6"/>
        <v>46.030000000000008</v>
      </c>
    </row>
    <row r="406" spans="6:6" x14ac:dyDescent="0.25">
      <c r="F406" s="7">
        <f t="shared" si="6"/>
        <v>46.030000000000008</v>
      </c>
    </row>
    <row r="407" spans="6:6" x14ac:dyDescent="0.25">
      <c r="F407" s="7">
        <f t="shared" si="6"/>
        <v>46.030000000000008</v>
      </c>
    </row>
    <row r="408" spans="6:6" x14ac:dyDescent="0.25">
      <c r="F408" s="7">
        <f t="shared" si="6"/>
        <v>46.030000000000008</v>
      </c>
    </row>
    <row r="409" spans="6:6" x14ac:dyDescent="0.25">
      <c r="F409" s="7">
        <f t="shared" si="6"/>
        <v>46.030000000000008</v>
      </c>
    </row>
    <row r="410" spans="6:6" x14ac:dyDescent="0.25">
      <c r="F410" s="7">
        <f t="shared" si="6"/>
        <v>46.030000000000008</v>
      </c>
    </row>
    <row r="411" spans="6:6" x14ac:dyDescent="0.25">
      <c r="F411" s="7">
        <f t="shared" si="6"/>
        <v>46.030000000000008</v>
      </c>
    </row>
    <row r="412" spans="6:6" x14ac:dyDescent="0.25">
      <c r="F412" s="7">
        <f t="shared" si="6"/>
        <v>46.030000000000008</v>
      </c>
    </row>
    <row r="413" spans="6:6" x14ac:dyDescent="0.25">
      <c r="F413" s="7">
        <f t="shared" si="6"/>
        <v>46.030000000000008</v>
      </c>
    </row>
    <row r="414" spans="6:6" x14ac:dyDescent="0.25">
      <c r="F414" s="7">
        <f t="shared" si="6"/>
        <v>46.030000000000008</v>
      </c>
    </row>
    <row r="415" spans="6:6" x14ac:dyDescent="0.25">
      <c r="F415" s="7">
        <f t="shared" si="6"/>
        <v>46.030000000000008</v>
      </c>
    </row>
    <row r="416" spans="6:6" x14ac:dyDescent="0.25">
      <c r="F416" s="7">
        <f t="shared" si="6"/>
        <v>46.030000000000008</v>
      </c>
    </row>
    <row r="417" spans="6:6" x14ac:dyDescent="0.25">
      <c r="F417" s="7">
        <f t="shared" si="6"/>
        <v>46.030000000000008</v>
      </c>
    </row>
    <row r="418" spans="6:6" x14ac:dyDescent="0.25">
      <c r="F418" s="7">
        <f t="shared" si="6"/>
        <v>46.030000000000008</v>
      </c>
    </row>
    <row r="419" spans="6:6" x14ac:dyDescent="0.25">
      <c r="F419" s="7">
        <f t="shared" si="6"/>
        <v>46.030000000000008</v>
      </c>
    </row>
    <row r="420" spans="6:6" x14ac:dyDescent="0.25">
      <c r="F420" s="7">
        <f t="shared" si="6"/>
        <v>46.030000000000008</v>
      </c>
    </row>
    <row r="421" spans="6:6" x14ac:dyDescent="0.25">
      <c r="F421" s="7">
        <f t="shared" si="6"/>
        <v>46.030000000000008</v>
      </c>
    </row>
    <row r="422" spans="6:6" x14ac:dyDescent="0.25">
      <c r="F422" s="7">
        <f t="shared" si="6"/>
        <v>46.030000000000008</v>
      </c>
    </row>
    <row r="423" spans="6:6" x14ac:dyDescent="0.25">
      <c r="F423" s="7">
        <f t="shared" si="6"/>
        <v>46.030000000000008</v>
      </c>
    </row>
    <row r="424" spans="6:6" x14ac:dyDescent="0.25">
      <c r="F424" s="7">
        <f t="shared" si="6"/>
        <v>46.030000000000008</v>
      </c>
    </row>
    <row r="425" spans="6:6" x14ac:dyDescent="0.25">
      <c r="F425" s="7">
        <f t="shared" si="6"/>
        <v>46.030000000000008</v>
      </c>
    </row>
    <row r="426" spans="6:6" x14ac:dyDescent="0.25">
      <c r="F426" s="7">
        <f t="shared" si="6"/>
        <v>46.030000000000008</v>
      </c>
    </row>
    <row r="427" spans="6:6" x14ac:dyDescent="0.25">
      <c r="F427" s="7">
        <f t="shared" si="6"/>
        <v>46.030000000000008</v>
      </c>
    </row>
    <row r="428" spans="6:6" x14ac:dyDescent="0.25">
      <c r="F428" s="7">
        <f t="shared" si="6"/>
        <v>46.030000000000008</v>
      </c>
    </row>
    <row r="429" spans="6:6" x14ac:dyDescent="0.25">
      <c r="F429" s="7">
        <f t="shared" si="6"/>
        <v>46.030000000000008</v>
      </c>
    </row>
    <row r="430" spans="6:6" x14ac:dyDescent="0.25">
      <c r="F430" s="7">
        <f t="shared" si="6"/>
        <v>46.030000000000008</v>
      </c>
    </row>
    <row r="431" spans="6:6" x14ac:dyDescent="0.25">
      <c r="F431" s="7">
        <f t="shared" si="6"/>
        <v>46.030000000000008</v>
      </c>
    </row>
    <row r="432" spans="6:6" x14ac:dyDescent="0.25">
      <c r="F432" s="7">
        <f t="shared" si="6"/>
        <v>46.030000000000008</v>
      </c>
    </row>
    <row r="433" spans="6:6" x14ac:dyDescent="0.25">
      <c r="F433" s="7">
        <f t="shared" si="6"/>
        <v>46.030000000000008</v>
      </c>
    </row>
    <row r="434" spans="6:6" x14ac:dyDescent="0.25">
      <c r="F434" s="7">
        <f t="shared" si="6"/>
        <v>46.030000000000008</v>
      </c>
    </row>
    <row r="435" spans="6:6" x14ac:dyDescent="0.25">
      <c r="F435" s="7">
        <f t="shared" si="6"/>
        <v>46.030000000000008</v>
      </c>
    </row>
    <row r="436" spans="6:6" x14ac:dyDescent="0.25">
      <c r="F436" s="7">
        <f t="shared" si="6"/>
        <v>46.030000000000008</v>
      </c>
    </row>
    <row r="437" spans="6:6" x14ac:dyDescent="0.25">
      <c r="F437" s="7">
        <f t="shared" si="6"/>
        <v>46.030000000000008</v>
      </c>
    </row>
    <row r="438" spans="6:6" x14ac:dyDescent="0.25">
      <c r="F438" s="7">
        <f t="shared" si="6"/>
        <v>46.030000000000008</v>
      </c>
    </row>
    <row r="439" spans="6:6" x14ac:dyDescent="0.25">
      <c r="F439" s="7">
        <f t="shared" si="6"/>
        <v>46.030000000000008</v>
      </c>
    </row>
    <row r="440" spans="6:6" x14ac:dyDescent="0.25">
      <c r="F440" s="7">
        <f t="shared" si="6"/>
        <v>46.030000000000008</v>
      </c>
    </row>
    <row r="441" spans="6:6" x14ac:dyDescent="0.25">
      <c r="F441" s="7">
        <f t="shared" si="6"/>
        <v>46.030000000000008</v>
      </c>
    </row>
    <row r="442" spans="6:6" x14ac:dyDescent="0.25">
      <c r="F442" s="7">
        <f t="shared" si="6"/>
        <v>46.030000000000008</v>
      </c>
    </row>
    <row r="443" spans="6:6" x14ac:dyDescent="0.25">
      <c r="F443" s="7">
        <f t="shared" si="6"/>
        <v>46.030000000000008</v>
      </c>
    </row>
    <row r="444" spans="6:6" x14ac:dyDescent="0.25">
      <c r="F444" s="7">
        <f t="shared" si="6"/>
        <v>46.030000000000008</v>
      </c>
    </row>
    <row r="445" spans="6:6" x14ac:dyDescent="0.25">
      <c r="F445" s="7">
        <f t="shared" si="6"/>
        <v>46.030000000000008</v>
      </c>
    </row>
    <row r="446" spans="6:6" x14ac:dyDescent="0.25">
      <c r="F446" s="7">
        <f t="shared" si="6"/>
        <v>46.030000000000008</v>
      </c>
    </row>
    <row r="447" spans="6:6" x14ac:dyDescent="0.25">
      <c r="F447" s="7">
        <f t="shared" si="6"/>
        <v>46.030000000000008</v>
      </c>
    </row>
    <row r="448" spans="6:6" x14ac:dyDescent="0.25">
      <c r="F448" s="7">
        <f t="shared" si="6"/>
        <v>46.030000000000008</v>
      </c>
    </row>
    <row r="449" spans="6:6" x14ac:dyDescent="0.25">
      <c r="F449" s="7">
        <f t="shared" si="6"/>
        <v>46.030000000000008</v>
      </c>
    </row>
  </sheetData>
  <autoFilter ref="A1:F3" xr:uid="{46C1B93E-8BF3-49D2-BC37-EEC947890327}"/>
  <mergeCells count="1">
    <mergeCell ref="B2:F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Trade-Entry</vt:lpstr>
      <vt:lpstr>Exness</vt:lpstr>
      <vt:lpstr>PNL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2025-01-30T08:03:01Z</dcterms:created>
  <dcterms:modified xsi:type="dcterms:W3CDTF">2025-02-27T09:21:27Z</dcterms:modified>
</cp:coreProperties>
</file>