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zShaidsk-BFS\itz-shaidsk-fx\ItzShaidSk-trade\Trading\Journal\"/>
    </mc:Choice>
  </mc:AlternateContent>
  <xr:revisionPtr revIDLastSave="0" documentId="13_ncr:1_{1F4A6989-327F-4680-A5A7-B0E2B790A465}" xr6:coauthVersionLast="41" xr6:coauthVersionMax="41" xr10:uidLastSave="{00000000-0000-0000-0000-000000000000}"/>
  <bookViews>
    <workbookView xWindow="-120" yWindow="-120" windowWidth="29040" windowHeight="15720" xr2:uid="{BCD9D66A-9A51-41A5-AA12-CD1273873461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4" i="1" l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49" i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48" i="1"/>
  <c r="L47" i="1"/>
  <c r="K41" i="1"/>
  <c r="L3" i="1"/>
  <c r="L4" i="1" s="1"/>
  <c r="L5" i="1" s="1"/>
  <c r="K54" i="1"/>
  <c r="K53" i="1"/>
  <c r="K52" i="1"/>
  <c r="K51" i="1"/>
  <c r="K50" i="1"/>
  <c r="K49" i="1"/>
  <c r="K58" i="1"/>
  <c r="K57" i="1"/>
  <c r="K56" i="1"/>
  <c r="K55" i="1"/>
  <c r="K48" i="1" l="1"/>
  <c r="K47" i="1"/>
  <c r="K46" i="1" l="1"/>
  <c r="K45" i="1"/>
  <c r="K44" i="1"/>
  <c r="K43" i="1" l="1"/>
  <c r="K42" i="1"/>
  <c r="K40" i="1"/>
  <c r="K37" i="1"/>
  <c r="K36" i="1"/>
  <c r="K34" i="1"/>
  <c r="K35" i="1"/>
  <c r="K33" i="1"/>
  <c r="K32" i="1"/>
  <c r="K31" i="1"/>
  <c r="K30" i="1"/>
  <c r="K29" i="1"/>
  <c r="K28" i="1"/>
  <c r="K27" i="1"/>
  <c r="K26" i="1"/>
  <c r="K23" i="1" l="1"/>
  <c r="K22" i="1"/>
  <c r="K21" i="1"/>
  <c r="L6" i="1" l="1"/>
  <c r="L7" i="1" s="1"/>
  <c r="L8" i="1" l="1"/>
  <c r="L9" i="1" s="1"/>
  <c r="L10" i="1" s="1"/>
  <c r="L11" i="1" s="1"/>
  <c r="L12" i="1" s="1"/>
  <c r="L13" i="1" s="1"/>
  <c r="L14" i="1" s="1"/>
  <c r="L15" i="1" l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l="1"/>
  <c r="L42" i="1" s="1"/>
  <c r="L43" i="1" s="1"/>
  <c r="L44" i="1" s="1"/>
  <c r="L45" i="1" s="1"/>
  <c r="L46" i="1" s="1"/>
</calcChain>
</file>

<file path=xl/sharedStrings.xml><?xml version="1.0" encoding="utf-8"?>
<sst xmlns="http://schemas.openxmlformats.org/spreadsheetml/2006/main" count="575" uniqueCount="79">
  <si>
    <t>Date</t>
  </si>
  <si>
    <t>Session</t>
  </si>
  <si>
    <t>Reason why i entered</t>
  </si>
  <si>
    <t>Time frame</t>
  </si>
  <si>
    <t>LOTs</t>
  </si>
  <si>
    <t>TP</t>
  </si>
  <si>
    <t>SL</t>
  </si>
  <si>
    <t>TRADE OUTCOME</t>
  </si>
  <si>
    <t>EMOTIONS</t>
  </si>
  <si>
    <t>30.01.2025</t>
  </si>
  <si>
    <t>1HR-TJL2</t>
  </si>
  <si>
    <t>1HR</t>
  </si>
  <si>
    <t>31.01.2025</t>
  </si>
  <si>
    <t>Pair</t>
  </si>
  <si>
    <t>XAU/USD</t>
  </si>
  <si>
    <t>GBP/JPY</t>
  </si>
  <si>
    <t>15MIN</t>
  </si>
  <si>
    <t>…</t>
  </si>
  <si>
    <t>FOMO</t>
  </si>
  <si>
    <t>Final Outup</t>
  </si>
  <si>
    <t>FOMO for revaersel and hit my sl, that is why I exit early</t>
  </si>
  <si>
    <t>After Trade close</t>
  </si>
  <si>
    <t>in profit but early exit.</t>
  </si>
  <si>
    <t>After close my trade itz goes my direaction and hit my full 100pips TP</t>
  </si>
  <si>
    <t>04.02.2025</t>
  </si>
  <si>
    <t>NYC</t>
  </si>
  <si>
    <t>5MIN</t>
  </si>
  <si>
    <t>early exit, fear of loseing, that's why close the trade early</t>
  </si>
  <si>
    <t>After close my trade itz goes my direaction and hit my full 65pips TP and reach all time high around 500pips</t>
  </si>
  <si>
    <t>Total balance</t>
  </si>
  <si>
    <t>22.01.2025</t>
  </si>
  <si>
    <t>LONDON</t>
  </si>
  <si>
    <t>TESTING</t>
  </si>
  <si>
    <t>NOTING</t>
  </si>
  <si>
    <t>LOSS</t>
  </si>
  <si>
    <t>21.01.2025</t>
  </si>
  <si>
    <t>DEPOSIT</t>
  </si>
  <si>
    <t>….</t>
  </si>
  <si>
    <t>5MIN - TJL1</t>
  </si>
  <si>
    <t>15MIN-TJL2-A+</t>
  </si>
  <si>
    <t>WIN</t>
  </si>
  <si>
    <t>After close my trade itz goes to my final TP</t>
  </si>
  <si>
    <t>24.01.2025</t>
  </si>
  <si>
    <t>27.01.2025</t>
  </si>
  <si>
    <t>28.01.2025</t>
  </si>
  <si>
    <t>29.01.2025</t>
  </si>
  <si>
    <t>BTC/USD</t>
  </si>
  <si>
    <t>31.01.2026</t>
  </si>
  <si>
    <t>05.02.2025</t>
  </si>
  <si>
    <t>06.02.2025</t>
  </si>
  <si>
    <t>USD/CHF</t>
  </si>
  <si>
    <t>USD/JPY</t>
  </si>
  <si>
    <t>10.02.2025</t>
  </si>
  <si>
    <t xml:space="preserve">Out of margin that is why I exit. </t>
  </si>
  <si>
    <t>in profit but out of margin.</t>
  </si>
  <si>
    <t>After taking trade give riskfree.</t>
  </si>
  <si>
    <t>riskfree</t>
  </si>
  <si>
    <t>11.02.2025</t>
  </si>
  <si>
    <t>I BROCK MY TRADING RULES, I TRADE IN 5MIN TJL 1</t>
  </si>
  <si>
    <t>LOSS BECAUSE OF NOT FLOWING MY RULES.</t>
  </si>
  <si>
    <t xml:space="preserve">TAKE MY SL </t>
  </si>
  <si>
    <t>TOTAL COMMISSION CHARGE TILL NOW.</t>
  </si>
  <si>
    <t>12.02.2025</t>
  </si>
  <si>
    <t>5MIN - QML-A+</t>
  </si>
  <si>
    <t>MISTAKE EXTRA ORDER.</t>
  </si>
  <si>
    <t>BREAK EVEN.</t>
  </si>
  <si>
    <t>GO IN MY DIRECTION BUT I CLOSED IT BECAUSE OF DOUBLE ORDER.</t>
  </si>
  <si>
    <t>LIQUIDITY</t>
  </si>
  <si>
    <t>FEAR OF HIGH VOLATITY</t>
  </si>
  <si>
    <t>IN PROFIT BUT I HAVE TO EXIT BECAUSE OF REVARSEL.</t>
  </si>
  <si>
    <t>AFTER SAFLY CLOSE IT GOES INTO REVERSAL DIRATION</t>
  </si>
  <si>
    <t>80PIPS</t>
  </si>
  <si>
    <t>Actual TP IN PIPS</t>
  </si>
  <si>
    <t>Actual SL IN PIPS</t>
  </si>
  <si>
    <t>30PIPS</t>
  </si>
  <si>
    <t>70PIPS WAS MY ACTUAL TP AND ITS HIT.</t>
  </si>
  <si>
    <t>GOES IN MY DIRECTION AND HIT MY TP.</t>
  </si>
  <si>
    <t>CLOSED 50% TO SAFE MY SL, RISK FREE TRADE.</t>
  </si>
  <si>
    <t>HIT 30PIPS AND I CLOSED MY 50%.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</si>
</sst>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1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D7A7-9F54-40D8-8EE5-52FB221EDCC2}">
  <dimension ref="A1:O328"/>
  <sheetViews>
    <sheetView tabSelected="1" topLeftCell="L1" zoomScaleNormal="100" workbookViewId="0">
      <pane ySplit="1" topLeftCell="A47" activePane="bottomLeft" state="frozen"/>
      <selection pane="bottomLeft" activeCell="O1" sqref="O1"/>
    </sheetView>
  </sheetViews>
  <sheetFormatPr defaultRowHeight="15" x14ac:dyDescent="0.25"/>
  <cols>
    <col min="1" max="1" width="10.140625" style="3" bestFit="1" customWidth="1"/>
    <col min="2" max="2" width="11.5703125" style="3" customWidth="1"/>
    <col min="3" max="3" width="11.42578125" style="3" customWidth="1"/>
    <col min="4" max="4" width="32.42578125" style="3" bestFit="1" customWidth="1"/>
    <col min="5" max="5" width="19.28515625" style="3" customWidth="1"/>
    <col min="6" max="6" width="11.5703125" style="3" customWidth="1"/>
    <col min="7" max="7" width="14.140625" style="3" customWidth="1"/>
    <col min="8" max="8" width="16.28515625" style="3" customWidth="1"/>
    <col min="9" max="9" width="26.7109375" style="3" bestFit="1" customWidth="1"/>
    <col min="10" max="10" width="26" style="3" bestFit="1" customWidth="1"/>
    <col min="11" max="11" width="27.7109375" style="3" bestFit="1" customWidth="1"/>
    <col min="12" max="12" width="27.7109375" style="5" customWidth="1"/>
    <col min="13" max="13" width="51.7109375" style="3" bestFit="1" customWidth="1"/>
    <col min="14" max="14" width="49.28515625" style="3" bestFit="1" customWidth="1"/>
    <col min="15" max="15" width="133.140625" style="3" customWidth="1"/>
    <col min="16" max="16384" width="9.140625" style="2"/>
  </cols>
  <sheetData>
    <row r="1" spans="1:15" ht="19.5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72</v>
      </c>
      <c r="J1" s="1" t="s">
        <v>73</v>
      </c>
      <c r="K1" s="1" t="s">
        <v>7</v>
      </c>
      <c r="L1" s="1" t="s">
        <v>29</v>
      </c>
      <c r="M1" s="1" t="s">
        <v>8</v>
      </c>
      <c r="N1" s="1" t="s">
        <v>19</v>
      </c>
      <c r="O1" s="1" t="s">
        <v>21</v>
      </c>
    </row>
    <row r="2" spans="1:15" ht="18.75" x14ac:dyDescent="0.25">
      <c r="A2" s="3" t="s">
        <v>35</v>
      </c>
      <c r="B2" s="3" t="s">
        <v>17</v>
      </c>
      <c r="C2" s="3" t="s">
        <v>17</v>
      </c>
      <c r="D2" s="3" t="s">
        <v>36</v>
      </c>
      <c r="E2" s="3" t="s">
        <v>17</v>
      </c>
      <c r="F2" s="3" t="s">
        <v>37</v>
      </c>
      <c r="G2" s="3" t="s">
        <v>37</v>
      </c>
      <c r="H2" s="3" t="s">
        <v>37</v>
      </c>
      <c r="I2" s="3" t="s">
        <v>17</v>
      </c>
      <c r="J2" s="3" t="s">
        <v>17</v>
      </c>
      <c r="K2" s="3" t="s">
        <v>17</v>
      </c>
      <c r="L2" s="4">
        <v>5000</v>
      </c>
      <c r="M2" s="3" t="s">
        <v>36</v>
      </c>
      <c r="N2" s="3" t="s">
        <v>17</v>
      </c>
      <c r="O2" s="3" t="s">
        <v>17</v>
      </c>
    </row>
    <row r="3" spans="1:15" s="7" customFormat="1" ht="18.75" x14ac:dyDescent="0.25">
      <c r="A3" s="6" t="s">
        <v>17</v>
      </c>
      <c r="B3" s="6" t="s">
        <v>17</v>
      </c>
      <c r="C3" s="6" t="s">
        <v>17</v>
      </c>
      <c r="D3" s="6" t="s">
        <v>17</v>
      </c>
      <c r="E3" s="6" t="s">
        <v>17</v>
      </c>
      <c r="F3" s="6" t="s">
        <v>17</v>
      </c>
      <c r="G3" s="6" t="s">
        <v>17</v>
      </c>
      <c r="H3" s="6" t="s">
        <v>17</v>
      </c>
      <c r="I3" s="6" t="s">
        <v>17</v>
      </c>
      <c r="J3" s="6" t="s">
        <v>17</v>
      </c>
      <c r="K3" s="6">
        <v>-14.44</v>
      </c>
      <c r="L3" s="4">
        <f>L2+K3</f>
        <v>4985.5600000000004</v>
      </c>
      <c r="M3" s="6" t="s">
        <v>61</v>
      </c>
      <c r="N3" s="6"/>
      <c r="O3" s="6"/>
    </row>
    <row r="4" spans="1:15" ht="18.75" x14ac:dyDescent="0.25">
      <c r="A4" s="3" t="s">
        <v>30</v>
      </c>
      <c r="B4" s="3" t="s">
        <v>31</v>
      </c>
      <c r="C4" s="3" t="s">
        <v>14</v>
      </c>
      <c r="D4" s="3" t="s">
        <v>32</v>
      </c>
      <c r="E4" s="3" t="s">
        <v>17</v>
      </c>
      <c r="F4" s="3">
        <v>0.03</v>
      </c>
      <c r="G4" s="3" t="s">
        <v>17</v>
      </c>
      <c r="H4" s="3" t="s">
        <v>17</v>
      </c>
      <c r="I4" s="3" t="s">
        <v>17</v>
      </c>
      <c r="J4" s="3" t="s">
        <v>17</v>
      </c>
      <c r="K4" s="3">
        <v>-3.42</v>
      </c>
      <c r="L4" s="4">
        <f>L3+K4</f>
        <v>4982.1400000000003</v>
      </c>
      <c r="M4" s="3" t="s">
        <v>33</v>
      </c>
      <c r="N4" s="3" t="s">
        <v>34</v>
      </c>
      <c r="O4" s="3" t="s">
        <v>32</v>
      </c>
    </row>
    <row r="5" spans="1:15" ht="18.75" x14ac:dyDescent="0.25">
      <c r="A5" s="3" t="s">
        <v>30</v>
      </c>
      <c r="B5" s="3" t="s">
        <v>31</v>
      </c>
      <c r="C5" s="3" t="s">
        <v>14</v>
      </c>
      <c r="D5" s="3" t="s">
        <v>32</v>
      </c>
      <c r="E5" s="3" t="s">
        <v>17</v>
      </c>
      <c r="F5" s="3">
        <v>0.03</v>
      </c>
      <c r="G5" s="3" t="s">
        <v>17</v>
      </c>
      <c r="H5" s="3" t="s">
        <v>17</v>
      </c>
      <c r="I5" s="3" t="s">
        <v>17</v>
      </c>
      <c r="J5" s="3" t="s">
        <v>17</v>
      </c>
      <c r="K5" s="3">
        <v>-2.34</v>
      </c>
      <c r="L5" s="4">
        <f>L4+K5</f>
        <v>4979.8</v>
      </c>
      <c r="M5" s="3" t="s">
        <v>33</v>
      </c>
      <c r="N5" s="3" t="s">
        <v>34</v>
      </c>
      <c r="O5" s="3" t="s">
        <v>32</v>
      </c>
    </row>
    <row r="6" spans="1:15" ht="18.75" x14ac:dyDescent="0.25">
      <c r="A6" s="3" t="s">
        <v>30</v>
      </c>
      <c r="B6" s="3" t="s">
        <v>31</v>
      </c>
      <c r="C6" s="3" t="s">
        <v>14</v>
      </c>
      <c r="D6" s="3" t="s">
        <v>32</v>
      </c>
      <c r="E6" s="3" t="s">
        <v>17</v>
      </c>
      <c r="F6" s="3">
        <v>0.03</v>
      </c>
      <c r="G6" s="3" t="s">
        <v>17</v>
      </c>
      <c r="H6" s="3" t="s">
        <v>17</v>
      </c>
      <c r="I6" s="3" t="s">
        <v>17</v>
      </c>
      <c r="J6" s="3" t="s">
        <v>17</v>
      </c>
      <c r="K6" s="3">
        <v>-0.18</v>
      </c>
      <c r="L6" s="4">
        <f t="shared" ref="L6:L46" si="0">L5+K6</f>
        <v>4979.62</v>
      </c>
      <c r="M6" s="3" t="s">
        <v>33</v>
      </c>
      <c r="N6" s="3" t="s">
        <v>34</v>
      </c>
      <c r="O6" s="3" t="s">
        <v>32</v>
      </c>
    </row>
    <row r="7" spans="1:15" ht="18.75" x14ac:dyDescent="0.25">
      <c r="A7" s="3" t="s">
        <v>30</v>
      </c>
      <c r="B7" s="3" t="s">
        <v>25</v>
      </c>
      <c r="C7" s="3" t="s">
        <v>14</v>
      </c>
      <c r="D7" s="3" t="s">
        <v>38</v>
      </c>
      <c r="E7" s="3" t="s">
        <v>26</v>
      </c>
      <c r="F7" s="3">
        <v>0.08</v>
      </c>
      <c r="G7" s="3">
        <v>17.84</v>
      </c>
      <c r="H7" s="3" t="s">
        <v>17</v>
      </c>
      <c r="I7" s="3" t="s">
        <v>17</v>
      </c>
      <c r="J7" s="3" t="s">
        <v>17</v>
      </c>
      <c r="K7" s="3">
        <v>17.84</v>
      </c>
      <c r="L7" s="4">
        <f t="shared" si="0"/>
        <v>4997.46</v>
      </c>
      <c r="M7" s="3" t="s">
        <v>27</v>
      </c>
      <c r="N7" s="3" t="s">
        <v>40</v>
      </c>
      <c r="O7" s="3" t="s">
        <v>41</v>
      </c>
    </row>
    <row r="8" spans="1:15" ht="18.75" x14ac:dyDescent="0.25">
      <c r="A8" s="3" t="s">
        <v>30</v>
      </c>
      <c r="B8" s="3" t="s">
        <v>25</v>
      </c>
      <c r="C8" s="3" t="s">
        <v>14</v>
      </c>
      <c r="D8" s="3" t="s">
        <v>38</v>
      </c>
      <c r="E8" s="3" t="s">
        <v>26</v>
      </c>
      <c r="F8" s="3">
        <v>0.08</v>
      </c>
      <c r="G8" s="3">
        <v>22</v>
      </c>
      <c r="H8" s="3" t="s">
        <v>17</v>
      </c>
      <c r="I8" s="3" t="s">
        <v>17</v>
      </c>
      <c r="J8" s="3" t="s">
        <v>17</v>
      </c>
      <c r="K8" s="3">
        <v>22</v>
      </c>
      <c r="L8" s="4">
        <f t="shared" ref="L8" si="1">L7+K8</f>
        <v>5019.46</v>
      </c>
      <c r="M8" s="3" t="s">
        <v>27</v>
      </c>
      <c r="N8" s="3" t="s">
        <v>40</v>
      </c>
      <c r="O8" s="3" t="s">
        <v>41</v>
      </c>
    </row>
    <row r="9" spans="1:15" ht="18.75" x14ac:dyDescent="0.25">
      <c r="A9" s="3" t="s">
        <v>42</v>
      </c>
      <c r="B9" s="3" t="s">
        <v>31</v>
      </c>
      <c r="C9" s="3" t="s">
        <v>14</v>
      </c>
      <c r="D9" s="3" t="s">
        <v>39</v>
      </c>
      <c r="E9" s="3" t="s">
        <v>16</v>
      </c>
      <c r="F9" s="3">
        <v>0.06</v>
      </c>
      <c r="G9" s="3">
        <v>12.78</v>
      </c>
      <c r="H9" s="3" t="s">
        <v>17</v>
      </c>
      <c r="I9" s="3" t="s">
        <v>17</v>
      </c>
      <c r="J9" s="3" t="s">
        <v>17</v>
      </c>
      <c r="K9" s="3">
        <v>12.78</v>
      </c>
      <c r="L9" s="4">
        <f t="shared" si="0"/>
        <v>5032.24</v>
      </c>
    </row>
    <row r="10" spans="1:15" ht="18.75" x14ac:dyDescent="0.25">
      <c r="A10" s="3" t="s">
        <v>42</v>
      </c>
      <c r="B10" s="3" t="s">
        <v>31</v>
      </c>
      <c r="C10" s="3" t="s">
        <v>14</v>
      </c>
      <c r="D10" s="3" t="s">
        <v>39</v>
      </c>
      <c r="E10" s="3" t="s">
        <v>16</v>
      </c>
      <c r="F10" s="3">
        <v>0.06</v>
      </c>
      <c r="G10" s="3">
        <v>16.68</v>
      </c>
      <c r="H10" s="3" t="s">
        <v>17</v>
      </c>
      <c r="I10" s="3" t="s">
        <v>17</v>
      </c>
      <c r="J10" s="3" t="s">
        <v>17</v>
      </c>
      <c r="K10" s="3">
        <v>16.68</v>
      </c>
      <c r="L10" s="4">
        <f t="shared" si="0"/>
        <v>5048.92</v>
      </c>
    </row>
    <row r="11" spans="1:15" ht="18.75" x14ac:dyDescent="0.25">
      <c r="A11" s="3" t="s">
        <v>43</v>
      </c>
      <c r="B11" s="3" t="s">
        <v>31</v>
      </c>
      <c r="C11" s="3" t="s">
        <v>14</v>
      </c>
      <c r="D11" s="3" t="s">
        <v>39</v>
      </c>
      <c r="E11" s="3" t="s">
        <v>16</v>
      </c>
      <c r="F11" s="3">
        <v>0.06</v>
      </c>
      <c r="G11" s="3" t="s">
        <v>17</v>
      </c>
      <c r="H11" s="3">
        <v>19.739999999999998</v>
      </c>
      <c r="I11" s="3" t="s">
        <v>17</v>
      </c>
      <c r="J11" s="3" t="s">
        <v>17</v>
      </c>
      <c r="K11" s="3">
        <v>-19.739999999999998</v>
      </c>
      <c r="L11" s="4">
        <f t="shared" si="0"/>
        <v>5029.18</v>
      </c>
      <c r="M11" s="3" t="s">
        <v>20</v>
      </c>
      <c r="N11" s="3" t="s">
        <v>22</v>
      </c>
      <c r="O11" s="3" t="s">
        <v>23</v>
      </c>
    </row>
    <row r="12" spans="1:15" ht="18.75" x14ac:dyDescent="0.25">
      <c r="A12" s="3" t="s">
        <v>43</v>
      </c>
      <c r="B12" s="3" t="s">
        <v>31</v>
      </c>
      <c r="C12" s="3" t="s">
        <v>14</v>
      </c>
      <c r="D12" s="3" t="s">
        <v>39</v>
      </c>
      <c r="E12" s="3" t="s">
        <v>16</v>
      </c>
      <c r="F12" s="3">
        <v>0.06</v>
      </c>
      <c r="G12" s="3" t="s">
        <v>17</v>
      </c>
      <c r="H12" s="3">
        <v>19.14</v>
      </c>
      <c r="I12" s="3" t="s">
        <v>17</v>
      </c>
      <c r="J12" s="3" t="s">
        <v>17</v>
      </c>
      <c r="K12" s="3">
        <v>-19.14</v>
      </c>
      <c r="L12" s="4">
        <f t="shared" si="0"/>
        <v>5010.04</v>
      </c>
      <c r="M12" s="3" t="s">
        <v>27</v>
      </c>
      <c r="N12" s="3" t="s">
        <v>22</v>
      </c>
      <c r="O12" s="3" t="s">
        <v>28</v>
      </c>
    </row>
    <row r="13" spans="1:15" ht="18.75" x14ac:dyDescent="0.25">
      <c r="A13" s="3" t="s">
        <v>43</v>
      </c>
      <c r="B13" s="3" t="s">
        <v>31</v>
      </c>
      <c r="C13" s="3" t="s">
        <v>14</v>
      </c>
      <c r="D13" s="3" t="s">
        <v>39</v>
      </c>
      <c r="E13" s="3" t="s">
        <v>16</v>
      </c>
      <c r="F13" s="3">
        <v>0.06</v>
      </c>
      <c r="G13" s="3">
        <v>21.06</v>
      </c>
      <c r="H13" s="3" t="s">
        <v>17</v>
      </c>
      <c r="I13" s="3" t="s">
        <v>17</v>
      </c>
      <c r="J13" s="3" t="s">
        <v>17</v>
      </c>
      <c r="K13" s="3">
        <v>21.06</v>
      </c>
      <c r="L13" s="4">
        <f t="shared" si="0"/>
        <v>5031.1000000000004</v>
      </c>
      <c r="M13" s="3" t="s">
        <v>18</v>
      </c>
    </row>
    <row r="14" spans="1:15" ht="18.75" x14ac:dyDescent="0.25">
      <c r="A14" s="3" t="s">
        <v>43</v>
      </c>
      <c r="B14" s="3" t="s">
        <v>31</v>
      </c>
      <c r="C14" s="3" t="s">
        <v>14</v>
      </c>
      <c r="D14" s="3" t="s">
        <v>39</v>
      </c>
      <c r="E14" s="3" t="s">
        <v>16</v>
      </c>
      <c r="F14" s="3">
        <v>0.06</v>
      </c>
      <c r="G14" s="3">
        <v>10.199999999999999</v>
      </c>
      <c r="H14" s="3" t="s">
        <v>17</v>
      </c>
      <c r="I14" s="3" t="s">
        <v>17</v>
      </c>
      <c r="J14" s="3" t="s">
        <v>17</v>
      </c>
      <c r="K14" s="3">
        <v>10.199999999999999</v>
      </c>
      <c r="L14" s="4">
        <f t="shared" si="0"/>
        <v>5041.3</v>
      </c>
    </row>
    <row r="15" spans="1:15" ht="18.75" x14ac:dyDescent="0.25">
      <c r="A15" s="3" t="s">
        <v>43</v>
      </c>
      <c r="B15" s="3" t="s">
        <v>31</v>
      </c>
      <c r="C15" s="3" t="s">
        <v>14</v>
      </c>
      <c r="D15" s="3" t="s">
        <v>39</v>
      </c>
      <c r="E15" s="3" t="s">
        <v>16</v>
      </c>
      <c r="F15" s="3">
        <v>0.06</v>
      </c>
      <c r="G15" s="3">
        <v>9.7200000000000006</v>
      </c>
      <c r="H15" s="3" t="s">
        <v>17</v>
      </c>
      <c r="I15" s="3" t="s">
        <v>17</v>
      </c>
      <c r="J15" s="3" t="s">
        <v>17</v>
      </c>
      <c r="K15" s="3">
        <v>9.7200000000000006</v>
      </c>
      <c r="L15" s="4">
        <f t="shared" si="0"/>
        <v>5051.0200000000004</v>
      </c>
      <c r="M15" s="3" t="s">
        <v>20</v>
      </c>
      <c r="N15" s="3" t="s">
        <v>22</v>
      </c>
      <c r="O15" s="3" t="s">
        <v>23</v>
      </c>
    </row>
    <row r="16" spans="1:15" ht="18.75" x14ac:dyDescent="0.25">
      <c r="A16" s="3" t="s">
        <v>43</v>
      </c>
      <c r="B16" s="3" t="s">
        <v>31</v>
      </c>
      <c r="C16" s="3" t="s">
        <v>14</v>
      </c>
      <c r="D16" s="3" t="s">
        <v>39</v>
      </c>
      <c r="E16" s="3" t="s">
        <v>16</v>
      </c>
      <c r="F16" s="3">
        <v>0.06</v>
      </c>
      <c r="G16" s="3">
        <v>9.7799999999999994</v>
      </c>
      <c r="H16" s="3" t="s">
        <v>17</v>
      </c>
      <c r="I16" s="3" t="s">
        <v>17</v>
      </c>
      <c r="J16" s="3" t="s">
        <v>17</v>
      </c>
      <c r="K16" s="3">
        <v>9.7799999999999994</v>
      </c>
      <c r="L16" s="4">
        <f t="shared" si="0"/>
        <v>5060.8</v>
      </c>
      <c r="M16" s="3" t="s">
        <v>27</v>
      </c>
      <c r="N16" s="3" t="s">
        <v>22</v>
      </c>
      <c r="O16" s="3" t="s">
        <v>28</v>
      </c>
    </row>
    <row r="17" spans="1:15" ht="18.75" x14ac:dyDescent="0.25">
      <c r="A17" s="3" t="s">
        <v>43</v>
      </c>
      <c r="B17" s="3" t="s">
        <v>31</v>
      </c>
      <c r="C17" s="3" t="s">
        <v>14</v>
      </c>
      <c r="D17" s="3" t="s">
        <v>39</v>
      </c>
      <c r="E17" s="3" t="s">
        <v>16</v>
      </c>
      <c r="F17" s="3">
        <v>0.06</v>
      </c>
      <c r="G17" s="3">
        <v>5.52</v>
      </c>
      <c r="H17" s="3" t="s">
        <v>17</v>
      </c>
      <c r="I17" s="3" t="s">
        <v>17</v>
      </c>
      <c r="J17" s="3" t="s">
        <v>17</v>
      </c>
      <c r="K17" s="3">
        <v>5.52</v>
      </c>
      <c r="L17" s="4">
        <f t="shared" si="0"/>
        <v>5066.3200000000006</v>
      </c>
      <c r="M17" s="3" t="s">
        <v>18</v>
      </c>
    </row>
    <row r="18" spans="1:15" ht="18.75" x14ac:dyDescent="0.25">
      <c r="A18" s="3" t="s">
        <v>43</v>
      </c>
      <c r="B18" s="3" t="s">
        <v>31</v>
      </c>
      <c r="C18" s="3" t="s">
        <v>14</v>
      </c>
      <c r="D18" s="3" t="s">
        <v>39</v>
      </c>
      <c r="E18" s="3" t="s">
        <v>16</v>
      </c>
      <c r="F18" s="3">
        <v>0.04</v>
      </c>
      <c r="G18" s="3">
        <v>0.9</v>
      </c>
      <c r="H18" s="3" t="s">
        <v>17</v>
      </c>
      <c r="I18" s="3" t="s">
        <v>17</v>
      </c>
      <c r="J18" s="3" t="s">
        <v>17</v>
      </c>
      <c r="K18" s="3">
        <v>0.9</v>
      </c>
      <c r="L18" s="4">
        <f t="shared" si="0"/>
        <v>5067.22</v>
      </c>
    </row>
    <row r="19" spans="1:15" ht="18.75" x14ac:dyDescent="0.25">
      <c r="A19" s="3" t="s">
        <v>44</v>
      </c>
      <c r="B19" s="3" t="s">
        <v>31</v>
      </c>
      <c r="C19" s="3" t="s">
        <v>14</v>
      </c>
      <c r="D19" s="3" t="s">
        <v>10</v>
      </c>
      <c r="E19" s="3" t="s">
        <v>11</v>
      </c>
      <c r="F19" s="3">
        <v>0.12</v>
      </c>
      <c r="G19" s="3" t="s">
        <v>17</v>
      </c>
      <c r="H19" s="3">
        <v>-40.26</v>
      </c>
      <c r="I19" s="3" t="s">
        <v>17</v>
      </c>
      <c r="J19" s="3" t="s">
        <v>17</v>
      </c>
      <c r="K19" s="3">
        <v>-40.26</v>
      </c>
      <c r="L19" s="4">
        <f t="shared" si="0"/>
        <v>5026.96</v>
      </c>
      <c r="M19" s="3" t="s">
        <v>20</v>
      </c>
      <c r="N19" s="3" t="s">
        <v>22</v>
      </c>
      <c r="O19" s="3" t="s">
        <v>23</v>
      </c>
    </row>
    <row r="20" spans="1:15" ht="18.75" x14ac:dyDescent="0.25">
      <c r="A20" s="3" t="s">
        <v>44</v>
      </c>
      <c r="B20" s="3" t="s">
        <v>31</v>
      </c>
      <c r="C20" s="3" t="s">
        <v>14</v>
      </c>
      <c r="D20" s="3" t="s">
        <v>39</v>
      </c>
      <c r="E20" s="3" t="s">
        <v>16</v>
      </c>
      <c r="F20" s="3">
        <v>0.06</v>
      </c>
      <c r="G20" s="3">
        <v>4.2300000000000004</v>
      </c>
      <c r="H20" s="3" t="s">
        <v>37</v>
      </c>
      <c r="I20" s="3" t="s">
        <v>17</v>
      </c>
      <c r="J20" s="3" t="s">
        <v>17</v>
      </c>
      <c r="K20" s="3">
        <v>4.2300000000000004</v>
      </c>
      <c r="L20" s="4">
        <f t="shared" si="0"/>
        <v>5031.1899999999996</v>
      </c>
      <c r="M20" s="3" t="s">
        <v>27</v>
      </c>
      <c r="N20" s="3" t="s">
        <v>22</v>
      </c>
      <c r="O20" s="3" t="s">
        <v>28</v>
      </c>
    </row>
    <row r="21" spans="1:15" ht="18.75" x14ac:dyDescent="0.25">
      <c r="A21" s="3" t="s">
        <v>45</v>
      </c>
      <c r="B21" s="3" t="s">
        <v>31</v>
      </c>
      <c r="C21" s="3" t="s">
        <v>14</v>
      </c>
      <c r="D21" s="3" t="s">
        <v>39</v>
      </c>
      <c r="E21" s="3" t="s">
        <v>16</v>
      </c>
      <c r="F21" s="3">
        <v>0.06</v>
      </c>
      <c r="G21" s="3" t="s">
        <v>17</v>
      </c>
      <c r="H21" s="3">
        <v>-0.9</v>
      </c>
      <c r="I21" s="3" t="s">
        <v>17</v>
      </c>
      <c r="J21" s="3" t="s">
        <v>17</v>
      </c>
      <c r="K21" s="3">
        <f>H21</f>
        <v>-0.9</v>
      </c>
      <c r="L21" s="4">
        <f t="shared" si="0"/>
        <v>5030.29</v>
      </c>
      <c r="M21" s="3" t="s">
        <v>18</v>
      </c>
    </row>
    <row r="22" spans="1:15" ht="18.75" x14ac:dyDescent="0.25">
      <c r="A22" s="3" t="s">
        <v>9</v>
      </c>
      <c r="B22" s="3" t="s">
        <v>31</v>
      </c>
      <c r="C22" s="3" t="s">
        <v>14</v>
      </c>
      <c r="D22" s="3" t="s">
        <v>17</v>
      </c>
      <c r="E22" s="3" t="s">
        <v>17</v>
      </c>
      <c r="F22" s="3">
        <v>0.06</v>
      </c>
      <c r="G22" s="3" t="s">
        <v>17</v>
      </c>
      <c r="H22" s="3">
        <v>-11.97</v>
      </c>
      <c r="I22" s="3" t="s">
        <v>17</v>
      </c>
      <c r="J22" s="3" t="s">
        <v>17</v>
      </c>
      <c r="K22" s="3">
        <f>H22</f>
        <v>-11.97</v>
      </c>
      <c r="L22" s="4">
        <f t="shared" si="0"/>
        <v>5018.32</v>
      </c>
      <c r="M22" s="3" t="s">
        <v>6</v>
      </c>
    </row>
    <row r="23" spans="1:15" ht="18.75" x14ac:dyDescent="0.25">
      <c r="A23" s="3" t="s">
        <v>9</v>
      </c>
      <c r="B23" s="3" t="s">
        <v>31</v>
      </c>
      <c r="C23" s="3" t="s">
        <v>14</v>
      </c>
      <c r="D23" s="3" t="s">
        <v>17</v>
      </c>
      <c r="E23" s="3" t="s">
        <v>17</v>
      </c>
      <c r="F23" s="3">
        <v>0.12</v>
      </c>
      <c r="G23" s="3" t="s">
        <v>17</v>
      </c>
      <c r="H23" s="3">
        <v>-33.54</v>
      </c>
      <c r="I23" s="3" t="s">
        <v>17</v>
      </c>
      <c r="J23" s="3" t="s">
        <v>17</v>
      </c>
      <c r="K23" s="3">
        <f>H23</f>
        <v>-33.54</v>
      </c>
      <c r="L23" s="4">
        <f t="shared" si="0"/>
        <v>4984.78</v>
      </c>
      <c r="M23" s="3" t="s">
        <v>20</v>
      </c>
      <c r="N23" s="3" t="s">
        <v>22</v>
      </c>
      <c r="O23" s="3" t="s">
        <v>23</v>
      </c>
    </row>
    <row r="24" spans="1:15" ht="18.75" x14ac:dyDescent="0.25">
      <c r="A24" s="3" t="s">
        <v>9</v>
      </c>
      <c r="B24" s="3" t="s">
        <v>31</v>
      </c>
      <c r="C24" s="3" t="s">
        <v>14</v>
      </c>
      <c r="D24" s="3" t="s">
        <v>17</v>
      </c>
      <c r="E24" s="3" t="s">
        <v>17</v>
      </c>
      <c r="F24" s="3">
        <v>0.06</v>
      </c>
      <c r="G24" s="3">
        <v>13.32</v>
      </c>
      <c r="H24" s="3" t="s">
        <v>17</v>
      </c>
      <c r="I24" s="3" t="s">
        <v>17</v>
      </c>
      <c r="J24" s="3" t="s">
        <v>17</v>
      </c>
      <c r="K24" s="3">
        <v>13.32</v>
      </c>
      <c r="L24" s="4">
        <f t="shared" si="0"/>
        <v>4998.0999999999995</v>
      </c>
      <c r="M24" s="3" t="s">
        <v>27</v>
      </c>
      <c r="N24" s="3" t="s">
        <v>22</v>
      </c>
      <c r="O24" s="3" t="s">
        <v>28</v>
      </c>
    </row>
    <row r="25" spans="1:15" ht="18.75" x14ac:dyDescent="0.25">
      <c r="A25" s="3" t="s">
        <v>9</v>
      </c>
      <c r="B25" s="3" t="s">
        <v>31</v>
      </c>
      <c r="C25" s="3" t="s">
        <v>14</v>
      </c>
      <c r="D25" s="3" t="s">
        <v>17</v>
      </c>
      <c r="E25" s="3" t="s">
        <v>17</v>
      </c>
      <c r="F25" s="3">
        <v>0.06</v>
      </c>
      <c r="G25" s="3" t="s">
        <v>17</v>
      </c>
      <c r="H25" s="3">
        <v>-19.98</v>
      </c>
      <c r="I25" s="3" t="s">
        <v>17</v>
      </c>
      <c r="J25" s="3" t="s">
        <v>17</v>
      </c>
      <c r="K25" s="3">
        <v>-19.98</v>
      </c>
      <c r="L25" s="4">
        <f t="shared" si="0"/>
        <v>4978.12</v>
      </c>
      <c r="M25" s="3" t="s">
        <v>18</v>
      </c>
    </row>
    <row r="26" spans="1:15" ht="18.75" x14ac:dyDescent="0.25">
      <c r="A26" s="3" t="s">
        <v>12</v>
      </c>
      <c r="B26" s="3" t="s">
        <v>25</v>
      </c>
      <c r="C26" s="3" t="s">
        <v>15</v>
      </c>
      <c r="D26" s="3" t="s">
        <v>17</v>
      </c>
      <c r="E26" s="3" t="s">
        <v>17</v>
      </c>
      <c r="F26" s="3">
        <v>0.15</v>
      </c>
      <c r="G26" s="3" t="s">
        <v>17</v>
      </c>
      <c r="H26" s="3">
        <v>-21.3</v>
      </c>
      <c r="I26" s="3" t="s">
        <v>37</v>
      </c>
      <c r="J26" s="3" t="s">
        <v>17</v>
      </c>
      <c r="K26" s="3">
        <f>H26</f>
        <v>-21.3</v>
      </c>
      <c r="L26" s="4">
        <f t="shared" si="0"/>
        <v>4956.82</v>
      </c>
      <c r="M26" s="3" t="s">
        <v>6</v>
      </c>
    </row>
    <row r="27" spans="1:15" ht="18.75" x14ac:dyDescent="0.25">
      <c r="A27" s="3" t="s">
        <v>12</v>
      </c>
      <c r="B27" s="3" t="s">
        <v>25</v>
      </c>
      <c r="C27" s="3" t="s">
        <v>15</v>
      </c>
      <c r="D27" s="3" t="s">
        <v>17</v>
      </c>
      <c r="E27" s="3" t="s">
        <v>17</v>
      </c>
      <c r="F27" s="3">
        <v>0.15</v>
      </c>
      <c r="G27" s="3" t="s">
        <v>17</v>
      </c>
      <c r="H27" s="3">
        <v>-21.11</v>
      </c>
      <c r="I27" s="3" t="s">
        <v>37</v>
      </c>
      <c r="J27" s="3" t="s">
        <v>17</v>
      </c>
      <c r="K27" s="3">
        <f>H27</f>
        <v>-21.11</v>
      </c>
      <c r="L27" s="4">
        <f t="shared" si="0"/>
        <v>4935.71</v>
      </c>
      <c r="M27" s="3" t="s">
        <v>20</v>
      </c>
      <c r="N27" s="3" t="s">
        <v>22</v>
      </c>
      <c r="O27" s="3" t="s">
        <v>23</v>
      </c>
    </row>
    <row r="28" spans="1:15" ht="18.75" x14ac:dyDescent="0.25">
      <c r="A28" s="3" t="s">
        <v>12</v>
      </c>
      <c r="B28" s="3" t="s">
        <v>25</v>
      </c>
      <c r="C28" s="3" t="s">
        <v>15</v>
      </c>
      <c r="D28" s="3" t="s">
        <v>17</v>
      </c>
      <c r="E28" s="3" t="s">
        <v>17</v>
      </c>
      <c r="F28" s="3">
        <v>0.15</v>
      </c>
      <c r="G28" s="3">
        <v>18.73</v>
      </c>
      <c r="H28" s="3" t="s">
        <v>17</v>
      </c>
      <c r="I28" s="3" t="s">
        <v>37</v>
      </c>
      <c r="J28" s="3" t="s">
        <v>17</v>
      </c>
      <c r="K28" s="3">
        <f>G28</f>
        <v>18.73</v>
      </c>
      <c r="L28" s="4">
        <f t="shared" si="0"/>
        <v>4954.4399999999996</v>
      </c>
      <c r="M28" s="3" t="s">
        <v>27</v>
      </c>
      <c r="N28" s="3" t="s">
        <v>22</v>
      </c>
      <c r="O28" s="3" t="s">
        <v>28</v>
      </c>
    </row>
    <row r="29" spans="1:15" ht="18.75" x14ac:dyDescent="0.25">
      <c r="A29" s="3" t="s">
        <v>12</v>
      </c>
      <c r="B29" s="3" t="s">
        <v>25</v>
      </c>
      <c r="C29" s="3" t="s">
        <v>15</v>
      </c>
      <c r="D29" s="3" t="s">
        <v>17</v>
      </c>
      <c r="E29" s="3" t="s">
        <v>17</v>
      </c>
      <c r="F29" s="3">
        <v>0.15</v>
      </c>
      <c r="G29" s="3">
        <v>18.82</v>
      </c>
      <c r="H29" s="3" t="s">
        <v>17</v>
      </c>
      <c r="I29" s="3" t="s">
        <v>37</v>
      </c>
      <c r="J29" s="3" t="s">
        <v>17</v>
      </c>
      <c r="K29" s="3">
        <f>G29</f>
        <v>18.82</v>
      </c>
      <c r="L29" s="4">
        <f t="shared" si="0"/>
        <v>4973.2599999999993</v>
      </c>
      <c r="M29" s="3" t="s">
        <v>18</v>
      </c>
    </row>
    <row r="30" spans="1:15" ht="18.75" x14ac:dyDescent="0.25">
      <c r="A30" s="3" t="s">
        <v>12</v>
      </c>
      <c r="B30" s="3" t="s">
        <v>25</v>
      </c>
      <c r="C30" s="3" t="s">
        <v>46</v>
      </c>
      <c r="D30" s="3" t="s">
        <v>17</v>
      </c>
      <c r="E30" s="3" t="s">
        <v>17</v>
      </c>
      <c r="F30" s="3">
        <v>0.03</v>
      </c>
      <c r="G30" s="3" t="s">
        <v>17</v>
      </c>
      <c r="H30" s="3">
        <v>-12.03</v>
      </c>
      <c r="I30" s="3" t="s">
        <v>17</v>
      </c>
      <c r="J30" s="3" t="s">
        <v>17</v>
      </c>
      <c r="K30" s="3">
        <f>H30</f>
        <v>-12.03</v>
      </c>
      <c r="L30" s="4">
        <f t="shared" si="0"/>
        <v>4961.2299999999996</v>
      </c>
      <c r="M30" s="3" t="s">
        <v>6</v>
      </c>
    </row>
    <row r="31" spans="1:15" ht="18.75" x14ac:dyDescent="0.25">
      <c r="A31" s="3" t="s">
        <v>47</v>
      </c>
      <c r="B31" s="3" t="s">
        <v>25</v>
      </c>
      <c r="C31" s="3" t="s">
        <v>46</v>
      </c>
      <c r="D31" s="3" t="s">
        <v>17</v>
      </c>
      <c r="E31" s="3" t="s">
        <v>17</v>
      </c>
      <c r="F31" s="3">
        <v>0.03</v>
      </c>
      <c r="G31" s="3" t="s">
        <v>17</v>
      </c>
      <c r="H31" s="3">
        <v>-12.03</v>
      </c>
      <c r="I31" s="3" t="s">
        <v>17</v>
      </c>
      <c r="J31" s="3" t="s">
        <v>17</v>
      </c>
      <c r="K31" s="3">
        <f>H31</f>
        <v>-12.03</v>
      </c>
      <c r="L31" s="4">
        <f t="shared" si="0"/>
        <v>4949.2</v>
      </c>
      <c r="M31" s="3" t="s">
        <v>20</v>
      </c>
      <c r="N31" s="3" t="s">
        <v>22</v>
      </c>
      <c r="O31" s="3" t="s">
        <v>23</v>
      </c>
    </row>
    <row r="32" spans="1:15" ht="18.75" x14ac:dyDescent="0.25">
      <c r="A32" s="3" t="s">
        <v>24</v>
      </c>
      <c r="B32" s="3" t="s">
        <v>31</v>
      </c>
      <c r="C32" s="3" t="s">
        <v>14</v>
      </c>
      <c r="D32" s="3" t="s">
        <v>39</v>
      </c>
      <c r="E32" s="3" t="s">
        <v>16</v>
      </c>
      <c r="F32" s="3">
        <v>0.06</v>
      </c>
      <c r="G32" s="3">
        <v>12.66</v>
      </c>
      <c r="H32" s="3" t="s">
        <v>17</v>
      </c>
      <c r="I32" s="3" t="s">
        <v>17</v>
      </c>
      <c r="J32" s="3" t="s">
        <v>17</v>
      </c>
      <c r="K32" s="3">
        <f>G32</f>
        <v>12.66</v>
      </c>
      <c r="L32" s="4">
        <f>L31+K32</f>
        <v>4961.8599999999997</v>
      </c>
      <c r="M32" s="3" t="s">
        <v>27</v>
      </c>
      <c r="N32" s="3" t="s">
        <v>22</v>
      </c>
      <c r="O32" s="3" t="s">
        <v>28</v>
      </c>
    </row>
    <row r="33" spans="1:15" ht="18.75" x14ac:dyDescent="0.25">
      <c r="A33" s="3" t="s">
        <v>24</v>
      </c>
      <c r="B33" s="3" t="s">
        <v>31</v>
      </c>
      <c r="C33" s="3" t="s">
        <v>14</v>
      </c>
      <c r="D33" s="3" t="s">
        <v>39</v>
      </c>
      <c r="E33" s="3" t="s">
        <v>16</v>
      </c>
      <c r="F33" s="3">
        <v>0.06</v>
      </c>
      <c r="G33" s="3">
        <v>26.94</v>
      </c>
      <c r="H33" s="3" t="s">
        <v>17</v>
      </c>
      <c r="I33" s="3" t="s">
        <v>17</v>
      </c>
      <c r="J33" s="3" t="s">
        <v>17</v>
      </c>
      <c r="K33" s="3">
        <f>G33</f>
        <v>26.94</v>
      </c>
      <c r="L33" s="4">
        <f>L32+K33</f>
        <v>4988.7999999999993</v>
      </c>
      <c r="M33" s="3" t="s">
        <v>18</v>
      </c>
    </row>
    <row r="34" spans="1:15" ht="18.75" x14ac:dyDescent="0.25">
      <c r="A34" s="3" t="s">
        <v>48</v>
      </c>
      <c r="B34" s="3" t="s">
        <v>31</v>
      </c>
      <c r="C34" s="3" t="s">
        <v>14</v>
      </c>
      <c r="D34" s="3" t="s">
        <v>39</v>
      </c>
      <c r="E34" s="3" t="s">
        <v>16</v>
      </c>
      <c r="F34" s="3">
        <v>0.06</v>
      </c>
      <c r="G34" s="3">
        <v>1.74</v>
      </c>
      <c r="H34" s="3" t="s">
        <v>17</v>
      </c>
      <c r="I34" s="3" t="s">
        <v>17</v>
      </c>
      <c r="J34" s="3" t="s">
        <v>17</v>
      </c>
      <c r="K34" s="3">
        <f>G34</f>
        <v>1.74</v>
      </c>
      <c r="L34" s="4">
        <f>L33+K34</f>
        <v>4990.5399999999991</v>
      </c>
      <c r="M34" s="3" t="s">
        <v>6</v>
      </c>
    </row>
    <row r="35" spans="1:15" ht="18.75" x14ac:dyDescent="0.25">
      <c r="A35" s="3" t="s">
        <v>48</v>
      </c>
      <c r="B35" s="3" t="s">
        <v>31</v>
      </c>
      <c r="C35" s="3" t="s">
        <v>14</v>
      </c>
      <c r="D35" s="3" t="s">
        <v>39</v>
      </c>
      <c r="E35" s="3" t="s">
        <v>16</v>
      </c>
      <c r="F35" s="3">
        <v>0.06</v>
      </c>
      <c r="G35" s="3">
        <v>0.36</v>
      </c>
      <c r="H35" s="3" t="s">
        <v>17</v>
      </c>
      <c r="I35" s="3" t="s">
        <v>17</v>
      </c>
      <c r="J35" s="3" t="s">
        <v>17</v>
      </c>
      <c r="K35" s="3">
        <f>G35</f>
        <v>0.36</v>
      </c>
      <c r="L35" s="4">
        <f>L34+K35</f>
        <v>4990.8999999999987</v>
      </c>
      <c r="M35" s="3" t="s">
        <v>20</v>
      </c>
      <c r="N35" s="3" t="s">
        <v>22</v>
      </c>
      <c r="O35" s="3" t="s">
        <v>23</v>
      </c>
    </row>
    <row r="36" spans="1:15" ht="18.75" x14ac:dyDescent="0.25">
      <c r="A36" s="3" t="s">
        <v>49</v>
      </c>
      <c r="B36" s="3" t="s">
        <v>31</v>
      </c>
      <c r="C36" s="3" t="s">
        <v>50</v>
      </c>
      <c r="D36" s="3" t="s">
        <v>39</v>
      </c>
      <c r="E36" s="3" t="s">
        <v>16</v>
      </c>
      <c r="F36" s="3">
        <v>0.15</v>
      </c>
      <c r="G36" s="3" t="s">
        <v>17</v>
      </c>
      <c r="H36" s="3">
        <v>-9.1300000000000008</v>
      </c>
      <c r="I36" s="3" t="s">
        <v>17</v>
      </c>
      <c r="J36" s="3" t="s">
        <v>17</v>
      </c>
      <c r="K36" s="3">
        <f>H36</f>
        <v>-9.1300000000000008</v>
      </c>
      <c r="L36" s="4">
        <f t="shared" si="0"/>
        <v>4981.7699999999986</v>
      </c>
      <c r="M36" s="3" t="s">
        <v>27</v>
      </c>
      <c r="N36" s="3" t="s">
        <v>22</v>
      </c>
      <c r="O36" s="3" t="s">
        <v>28</v>
      </c>
    </row>
    <row r="37" spans="1:15" ht="18.75" x14ac:dyDescent="0.25">
      <c r="A37" s="3" t="s">
        <v>49</v>
      </c>
      <c r="B37" s="3" t="s">
        <v>31</v>
      </c>
      <c r="C37" s="3" t="s">
        <v>50</v>
      </c>
      <c r="D37" s="3" t="s">
        <v>39</v>
      </c>
      <c r="E37" s="3" t="s">
        <v>16</v>
      </c>
      <c r="F37" s="3">
        <v>0.15</v>
      </c>
      <c r="G37" s="3" t="s">
        <v>17</v>
      </c>
      <c r="H37" s="3">
        <v>-9.1300000000000008</v>
      </c>
      <c r="I37" s="3" t="s">
        <v>17</v>
      </c>
      <c r="J37" s="3" t="s">
        <v>17</v>
      </c>
      <c r="K37" s="3">
        <f>H37</f>
        <v>-9.1300000000000008</v>
      </c>
      <c r="L37" s="4">
        <f t="shared" si="0"/>
        <v>4972.6399999999985</v>
      </c>
    </row>
    <row r="38" spans="1:15" ht="18.75" x14ac:dyDescent="0.25">
      <c r="A38" s="3" t="s">
        <v>49</v>
      </c>
      <c r="B38" s="3" t="s">
        <v>31</v>
      </c>
      <c r="C38" s="3" t="s">
        <v>15</v>
      </c>
      <c r="D38" s="3" t="s">
        <v>39</v>
      </c>
      <c r="E38" s="3" t="s">
        <v>16</v>
      </c>
      <c r="F38" s="3">
        <v>0.06</v>
      </c>
      <c r="G38" s="3" t="s">
        <v>17</v>
      </c>
      <c r="H38" s="3">
        <v>-3.3</v>
      </c>
      <c r="I38" s="3" t="s">
        <v>17</v>
      </c>
      <c r="J38" s="3" t="s">
        <v>17</v>
      </c>
      <c r="K38" s="3">
        <v>-3.3</v>
      </c>
      <c r="L38" s="4">
        <f t="shared" si="0"/>
        <v>4969.3399999999983</v>
      </c>
    </row>
    <row r="39" spans="1:15" ht="18.75" x14ac:dyDescent="0.25">
      <c r="A39" s="3" t="s">
        <v>49</v>
      </c>
      <c r="B39" s="3" t="s">
        <v>31</v>
      </c>
      <c r="C39" s="3" t="s">
        <v>15</v>
      </c>
      <c r="D39" s="3" t="s">
        <v>39</v>
      </c>
      <c r="E39" s="3" t="s">
        <v>16</v>
      </c>
      <c r="F39" s="3">
        <v>0.06</v>
      </c>
      <c r="G39" s="3" t="s">
        <v>17</v>
      </c>
      <c r="H39" s="3">
        <v>-3.3</v>
      </c>
      <c r="I39" s="3" t="s">
        <v>17</v>
      </c>
      <c r="J39" s="3" t="s">
        <v>17</v>
      </c>
      <c r="K39" s="3">
        <v>-3.3</v>
      </c>
      <c r="L39" s="4">
        <f t="shared" si="0"/>
        <v>4966.0399999999981</v>
      </c>
    </row>
    <row r="40" spans="1:15" ht="18.75" x14ac:dyDescent="0.25">
      <c r="A40" s="3" t="s">
        <v>49</v>
      </c>
      <c r="B40" s="3" t="s">
        <v>31</v>
      </c>
      <c r="C40" s="3" t="s">
        <v>51</v>
      </c>
      <c r="D40" s="3" t="s">
        <v>39</v>
      </c>
      <c r="E40" s="3" t="s">
        <v>16</v>
      </c>
      <c r="F40" s="3">
        <v>0.09</v>
      </c>
      <c r="G40" s="3">
        <v>8.73</v>
      </c>
      <c r="H40" s="3" t="s">
        <v>17</v>
      </c>
      <c r="I40" s="3" t="s">
        <v>17</v>
      </c>
      <c r="J40" s="3" t="s">
        <v>17</v>
      </c>
      <c r="K40" s="3">
        <f>G40</f>
        <v>8.73</v>
      </c>
      <c r="L40" s="4">
        <f t="shared" si="0"/>
        <v>4974.7699999999977</v>
      </c>
    </row>
    <row r="41" spans="1:15" ht="18.75" x14ac:dyDescent="0.25">
      <c r="A41" s="3" t="s">
        <v>49</v>
      </c>
      <c r="B41" s="3" t="s">
        <v>31</v>
      </c>
      <c r="C41" s="3" t="s">
        <v>51</v>
      </c>
      <c r="D41" s="3" t="s">
        <v>39</v>
      </c>
      <c r="E41" s="3" t="s">
        <v>16</v>
      </c>
      <c r="F41" s="3">
        <v>0.09</v>
      </c>
      <c r="G41" s="3" t="s">
        <v>17</v>
      </c>
      <c r="H41" s="3">
        <v>-8.01</v>
      </c>
      <c r="I41" s="3" t="s">
        <v>17</v>
      </c>
      <c r="J41" s="3" t="s">
        <v>17</v>
      </c>
      <c r="K41" s="3">
        <f>H41</f>
        <v>-8.01</v>
      </c>
      <c r="L41" s="4">
        <f>L40+K41</f>
        <v>4966.7599999999975</v>
      </c>
    </row>
    <row r="42" spans="1:15" ht="18.75" x14ac:dyDescent="0.25">
      <c r="A42" s="3" t="s">
        <v>49</v>
      </c>
      <c r="B42" s="3" t="s">
        <v>31</v>
      </c>
      <c r="C42" s="3" t="s">
        <v>14</v>
      </c>
      <c r="D42" s="3" t="s">
        <v>39</v>
      </c>
      <c r="E42" s="3" t="s">
        <v>16</v>
      </c>
      <c r="F42" s="3">
        <v>0.06</v>
      </c>
      <c r="G42" s="3">
        <v>15.48</v>
      </c>
      <c r="H42" s="3" t="s">
        <v>17</v>
      </c>
      <c r="I42" s="3" t="s">
        <v>17</v>
      </c>
      <c r="J42" s="3" t="s">
        <v>17</v>
      </c>
      <c r="K42" s="3">
        <f>G42</f>
        <v>15.48</v>
      </c>
      <c r="L42" s="4">
        <f>L41+K42</f>
        <v>4982.2399999999971</v>
      </c>
    </row>
    <row r="43" spans="1:15" ht="18.75" x14ac:dyDescent="0.25">
      <c r="A43" s="3" t="s">
        <v>49</v>
      </c>
      <c r="B43" s="3" t="s">
        <v>31</v>
      </c>
      <c r="C43" s="3" t="s">
        <v>14</v>
      </c>
      <c r="D43" s="3" t="s">
        <v>39</v>
      </c>
      <c r="E43" s="3" t="s">
        <v>16</v>
      </c>
      <c r="F43" s="3">
        <v>0.06</v>
      </c>
      <c r="G43" s="3">
        <v>0.96</v>
      </c>
      <c r="H43" s="3" t="s">
        <v>17</v>
      </c>
      <c r="I43" s="3" t="s">
        <v>17</v>
      </c>
      <c r="J43" s="3" t="s">
        <v>17</v>
      </c>
      <c r="K43" s="3">
        <f>G43</f>
        <v>0.96</v>
      </c>
      <c r="L43" s="4">
        <f t="shared" si="0"/>
        <v>4983.1999999999971</v>
      </c>
    </row>
    <row r="44" spans="1:15" ht="18.75" x14ac:dyDescent="0.25">
      <c r="A44" s="3" t="s">
        <v>52</v>
      </c>
      <c r="B44" s="3" t="s">
        <v>25</v>
      </c>
      <c r="C44" s="3" t="s">
        <v>14</v>
      </c>
      <c r="D44" s="3" t="s">
        <v>39</v>
      </c>
      <c r="E44" s="3" t="s">
        <v>16</v>
      </c>
      <c r="F44" s="3">
        <v>0.06</v>
      </c>
      <c r="G44" s="3">
        <v>5.58</v>
      </c>
      <c r="H44" s="3" t="s">
        <v>17</v>
      </c>
      <c r="I44" s="3" t="s">
        <v>17</v>
      </c>
      <c r="J44" s="3" t="s">
        <v>17</v>
      </c>
      <c r="K44" s="3">
        <f>G44</f>
        <v>5.58</v>
      </c>
      <c r="L44" s="4">
        <f t="shared" si="0"/>
        <v>4988.779999999997</v>
      </c>
    </row>
    <row r="45" spans="1:15" ht="18.75" x14ac:dyDescent="0.25">
      <c r="A45" s="3" t="s">
        <v>52</v>
      </c>
      <c r="B45" s="3" t="s">
        <v>25</v>
      </c>
      <c r="C45" s="3" t="s">
        <v>14</v>
      </c>
      <c r="D45" s="3" t="s">
        <v>39</v>
      </c>
      <c r="E45" s="3" t="s">
        <v>16</v>
      </c>
      <c r="F45" s="3">
        <v>0.06</v>
      </c>
      <c r="G45" s="3">
        <v>6.24</v>
      </c>
      <c r="H45" s="3" t="s">
        <v>17</v>
      </c>
      <c r="I45" s="3" t="s">
        <v>17</v>
      </c>
      <c r="J45" s="3" t="s">
        <v>17</v>
      </c>
      <c r="K45" s="3">
        <f>G45</f>
        <v>6.24</v>
      </c>
      <c r="L45" s="4">
        <f t="shared" si="0"/>
        <v>4995.0199999999968</v>
      </c>
      <c r="O45" s="3" t="s">
        <v>56</v>
      </c>
    </row>
    <row r="46" spans="1:15" ht="18.75" x14ac:dyDescent="0.25">
      <c r="A46" s="3" t="s">
        <v>57</v>
      </c>
      <c r="B46" s="3" t="s">
        <v>25</v>
      </c>
      <c r="C46" s="3" t="s">
        <v>46</v>
      </c>
      <c r="D46" s="3" t="s">
        <v>39</v>
      </c>
      <c r="E46" s="3" t="s">
        <v>16</v>
      </c>
      <c r="F46" s="3">
        <v>0.06</v>
      </c>
      <c r="G46" s="3">
        <v>1.1200000000000001</v>
      </c>
      <c r="H46" s="3" t="s">
        <v>17</v>
      </c>
      <c r="I46" s="3" t="s">
        <v>17</v>
      </c>
      <c r="J46" s="3" t="s">
        <v>17</v>
      </c>
      <c r="K46" s="3">
        <f>G46</f>
        <v>1.1200000000000001</v>
      </c>
      <c r="L46" s="4">
        <f t="shared" si="0"/>
        <v>4996.1399999999967</v>
      </c>
      <c r="M46" s="3" t="s">
        <v>53</v>
      </c>
      <c r="N46" s="3" t="s">
        <v>54</v>
      </c>
      <c r="O46" s="3" t="s">
        <v>55</v>
      </c>
    </row>
    <row r="47" spans="1:15" ht="18.75" x14ac:dyDescent="0.25">
      <c r="A47" s="3" t="s">
        <v>57</v>
      </c>
      <c r="B47" s="3" t="s">
        <v>31</v>
      </c>
      <c r="C47" s="3" t="s">
        <v>14</v>
      </c>
      <c r="D47" s="3" t="s">
        <v>38</v>
      </c>
      <c r="E47" s="3" t="s">
        <v>26</v>
      </c>
      <c r="F47" s="3">
        <v>0.06</v>
      </c>
      <c r="G47" s="3" t="s">
        <v>17</v>
      </c>
      <c r="H47" s="3">
        <v>-9.7799999999999994</v>
      </c>
      <c r="I47" s="3" t="s">
        <v>17</v>
      </c>
      <c r="J47" s="3" t="s">
        <v>17</v>
      </c>
      <c r="K47" s="3">
        <f>H47</f>
        <v>-9.7799999999999994</v>
      </c>
      <c r="L47" s="4">
        <f>L46+K47</f>
        <v>4986.3599999999969</v>
      </c>
      <c r="M47" s="3" t="s">
        <v>58</v>
      </c>
      <c r="N47" s="3" t="s">
        <v>59</v>
      </c>
      <c r="O47" s="3" t="s">
        <v>60</v>
      </c>
    </row>
    <row r="48" spans="1:15" ht="18.75" x14ac:dyDescent="0.25">
      <c r="A48" s="3" t="s">
        <v>57</v>
      </c>
      <c r="B48" s="3" t="s">
        <v>31</v>
      </c>
      <c r="C48" s="3" t="s">
        <v>14</v>
      </c>
      <c r="D48" s="3" t="s">
        <v>38</v>
      </c>
      <c r="E48" s="3" t="s">
        <v>26</v>
      </c>
      <c r="F48" s="3">
        <v>0.06</v>
      </c>
      <c r="G48" s="3" t="s">
        <v>17</v>
      </c>
      <c r="H48" s="3">
        <v>-9.6</v>
      </c>
      <c r="I48" s="3" t="s">
        <v>17</v>
      </c>
      <c r="J48" s="3" t="s">
        <v>17</v>
      </c>
      <c r="K48" s="3">
        <f>H48</f>
        <v>-9.6</v>
      </c>
      <c r="L48" s="4">
        <f>L47+K48</f>
        <v>4976.7599999999966</v>
      </c>
    </row>
    <row r="49" spans="1:15" ht="18.75" x14ac:dyDescent="0.25">
      <c r="A49" s="3" t="s">
        <v>57</v>
      </c>
      <c r="B49" s="3" t="s">
        <v>25</v>
      </c>
      <c r="C49" s="3" t="s">
        <v>14</v>
      </c>
      <c r="D49" s="3" t="s">
        <v>39</v>
      </c>
      <c r="E49" s="3" t="s">
        <v>16</v>
      </c>
      <c r="F49" s="3">
        <v>0.03</v>
      </c>
      <c r="G49" s="3">
        <v>5.58</v>
      </c>
      <c r="H49" s="3" t="s">
        <v>17</v>
      </c>
      <c r="I49" s="3" t="s">
        <v>17</v>
      </c>
      <c r="J49" s="3" t="s">
        <v>17</v>
      </c>
      <c r="K49" s="3">
        <f>G49</f>
        <v>5.58</v>
      </c>
      <c r="L49" s="4">
        <f t="shared" ref="L49:L112" si="2">L48+K49</f>
        <v>4982.3399999999965</v>
      </c>
      <c r="M49" s="3" t="s">
        <v>68</v>
      </c>
      <c r="N49" s="3" t="s">
        <v>69</v>
      </c>
      <c r="O49" s="3" t="s">
        <v>70</v>
      </c>
    </row>
    <row r="50" spans="1:15" ht="18.75" x14ac:dyDescent="0.25">
      <c r="A50" s="3" t="s">
        <v>57</v>
      </c>
      <c r="B50" s="3" t="s">
        <v>25</v>
      </c>
      <c r="C50" s="3" t="s">
        <v>14</v>
      </c>
      <c r="D50" s="3" t="s">
        <v>39</v>
      </c>
      <c r="E50" s="3" t="s">
        <v>16</v>
      </c>
      <c r="F50" s="3">
        <v>0.03</v>
      </c>
      <c r="G50" s="3">
        <v>5.85</v>
      </c>
      <c r="H50" s="3" t="s">
        <v>17</v>
      </c>
      <c r="I50" s="3" t="s">
        <v>17</v>
      </c>
      <c r="J50" s="3" t="s">
        <v>17</v>
      </c>
      <c r="K50" s="3">
        <f>G50</f>
        <v>5.85</v>
      </c>
      <c r="L50" s="4">
        <f t="shared" si="2"/>
        <v>4988.1899999999969</v>
      </c>
      <c r="M50" s="3" t="s">
        <v>68</v>
      </c>
      <c r="N50" s="3" t="s">
        <v>69</v>
      </c>
      <c r="O50" s="3" t="s">
        <v>70</v>
      </c>
    </row>
    <row r="51" spans="1:15" ht="18.75" x14ac:dyDescent="0.25">
      <c r="A51" s="3" t="s">
        <v>57</v>
      </c>
      <c r="B51" s="3" t="s">
        <v>25</v>
      </c>
      <c r="C51" s="3" t="s">
        <v>14</v>
      </c>
      <c r="D51" s="3" t="s">
        <v>67</v>
      </c>
      <c r="E51" s="3" t="s">
        <v>16</v>
      </c>
      <c r="F51" s="3">
        <v>0.01</v>
      </c>
      <c r="G51" s="3" t="s">
        <v>17</v>
      </c>
      <c r="H51" s="3">
        <v>-4.92</v>
      </c>
      <c r="I51" s="3" t="s">
        <v>17</v>
      </c>
      <c r="J51" s="3" t="s">
        <v>17</v>
      </c>
      <c r="K51" s="3">
        <f>H51</f>
        <v>-4.92</v>
      </c>
      <c r="L51" s="4">
        <f t="shared" si="2"/>
        <v>4983.2699999999968</v>
      </c>
    </row>
    <row r="52" spans="1:15" ht="18.75" x14ac:dyDescent="0.25">
      <c r="A52" s="3" t="s">
        <v>57</v>
      </c>
      <c r="B52" s="3" t="s">
        <v>25</v>
      </c>
      <c r="C52" s="3" t="s">
        <v>14</v>
      </c>
      <c r="D52" s="3" t="s">
        <v>67</v>
      </c>
      <c r="E52" s="3" t="s">
        <v>16</v>
      </c>
      <c r="F52" s="3">
        <v>0.01</v>
      </c>
      <c r="G52" s="3" t="s">
        <v>17</v>
      </c>
      <c r="H52" s="3">
        <v>-4.87</v>
      </c>
      <c r="I52" s="3" t="s">
        <v>17</v>
      </c>
      <c r="J52" s="3" t="s">
        <v>17</v>
      </c>
      <c r="K52" s="3">
        <f>H52</f>
        <v>-4.87</v>
      </c>
      <c r="L52" s="4">
        <f t="shared" si="2"/>
        <v>4978.3999999999969</v>
      </c>
    </row>
    <row r="53" spans="1:15" ht="18.75" x14ac:dyDescent="0.25">
      <c r="A53" s="3" t="s">
        <v>57</v>
      </c>
      <c r="B53" s="3" t="s">
        <v>25</v>
      </c>
      <c r="C53" s="3" t="s">
        <v>14</v>
      </c>
      <c r="D53" s="3" t="s">
        <v>67</v>
      </c>
      <c r="E53" s="3" t="s">
        <v>16</v>
      </c>
      <c r="F53" s="3">
        <v>0.01</v>
      </c>
      <c r="G53" s="3" t="s">
        <v>17</v>
      </c>
      <c r="H53" s="3">
        <v>-6.24</v>
      </c>
      <c r="I53" s="3" t="s">
        <v>17</v>
      </c>
      <c r="J53" s="3" t="s">
        <v>17</v>
      </c>
      <c r="K53" s="3">
        <f>H53</f>
        <v>-6.24</v>
      </c>
      <c r="L53" s="4">
        <f t="shared" si="2"/>
        <v>4972.1599999999971</v>
      </c>
    </row>
    <row r="54" spans="1:15" ht="18.75" x14ac:dyDescent="0.25">
      <c r="A54" s="3" t="s">
        <v>57</v>
      </c>
      <c r="B54" s="3" t="s">
        <v>25</v>
      </c>
      <c r="C54" s="3" t="s">
        <v>14</v>
      </c>
      <c r="D54" s="3" t="s">
        <v>67</v>
      </c>
      <c r="E54" s="3" t="s">
        <v>16</v>
      </c>
      <c r="F54" s="3">
        <v>0.01</v>
      </c>
      <c r="G54" s="3" t="s">
        <v>17</v>
      </c>
      <c r="H54" s="3">
        <v>-7.35</v>
      </c>
      <c r="I54" s="3" t="s">
        <v>17</v>
      </c>
      <c r="J54" s="3" t="s">
        <v>17</v>
      </c>
      <c r="K54" s="3">
        <f>H54</f>
        <v>-7.35</v>
      </c>
      <c r="L54" s="4">
        <f t="shared" si="2"/>
        <v>4964.8099999999968</v>
      </c>
    </row>
    <row r="55" spans="1:15" ht="18.75" x14ac:dyDescent="0.25">
      <c r="A55" s="3" t="s">
        <v>62</v>
      </c>
      <c r="B55" s="3" t="s">
        <v>31</v>
      </c>
      <c r="C55" s="3" t="s">
        <v>14</v>
      </c>
      <c r="D55" s="3" t="s">
        <v>63</v>
      </c>
      <c r="E55" s="3" t="s">
        <v>26</v>
      </c>
      <c r="F55" s="3">
        <v>0.06</v>
      </c>
      <c r="G55" s="3">
        <v>1.44</v>
      </c>
      <c r="H55" s="3" t="s">
        <v>17</v>
      </c>
      <c r="I55" s="3" t="s">
        <v>17</v>
      </c>
      <c r="J55" s="3" t="s">
        <v>17</v>
      </c>
      <c r="K55" s="3">
        <f>G55</f>
        <v>1.44</v>
      </c>
      <c r="L55" s="4">
        <f t="shared" si="2"/>
        <v>4966.2499999999964</v>
      </c>
      <c r="M55" s="3" t="s">
        <v>64</v>
      </c>
      <c r="N55" s="3" t="s">
        <v>65</v>
      </c>
      <c r="O55" s="3" t="s">
        <v>66</v>
      </c>
    </row>
    <row r="56" spans="1:15" ht="18.75" x14ac:dyDescent="0.25">
      <c r="A56" s="3" t="s">
        <v>62</v>
      </c>
      <c r="B56" s="3" t="s">
        <v>31</v>
      </c>
      <c r="C56" s="3" t="s">
        <v>14</v>
      </c>
      <c r="D56" s="3" t="s">
        <v>63</v>
      </c>
      <c r="E56" s="3" t="s">
        <v>26</v>
      </c>
      <c r="F56" s="3">
        <v>0.06</v>
      </c>
      <c r="G56" s="3">
        <v>1.44</v>
      </c>
      <c r="H56" s="3" t="s">
        <v>17</v>
      </c>
      <c r="I56" s="3" t="s">
        <v>17</v>
      </c>
      <c r="J56" s="3" t="s">
        <v>17</v>
      </c>
      <c r="K56" s="3">
        <f>G56</f>
        <v>1.44</v>
      </c>
      <c r="L56" s="4">
        <f t="shared" si="2"/>
        <v>4967.689999999996</v>
      </c>
      <c r="M56" s="3" t="s">
        <v>64</v>
      </c>
      <c r="N56" s="3" t="s">
        <v>65</v>
      </c>
      <c r="O56" s="3" t="s">
        <v>66</v>
      </c>
    </row>
    <row r="57" spans="1:15" ht="18.75" x14ac:dyDescent="0.25">
      <c r="A57" s="3" t="s">
        <v>62</v>
      </c>
      <c r="B57" s="3" t="s">
        <v>31</v>
      </c>
      <c r="C57" s="3" t="s">
        <v>14</v>
      </c>
      <c r="D57" s="3" t="s">
        <v>63</v>
      </c>
      <c r="E57" s="3" t="s">
        <v>26</v>
      </c>
      <c r="F57" s="3">
        <v>0.06</v>
      </c>
      <c r="G57" s="3">
        <v>11.28</v>
      </c>
      <c r="H57" s="3" t="s">
        <v>17</v>
      </c>
      <c r="I57" s="3" t="s">
        <v>74</v>
      </c>
      <c r="J57" s="3" t="s">
        <v>74</v>
      </c>
      <c r="K57" s="3">
        <f>G57</f>
        <v>11.28</v>
      </c>
      <c r="L57" s="4">
        <f t="shared" si="2"/>
        <v>4978.9699999999957</v>
      </c>
      <c r="M57" s="3" t="s">
        <v>77</v>
      </c>
      <c r="N57" s="3" t="s">
        <v>78</v>
      </c>
      <c r="O57" s="3" t="s">
        <v>76</v>
      </c>
    </row>
    <row r="58" spans="1:15" ht="18.75" x14ac:dyDescent="0.25">
      <c r="A58" s="3" t="s">
        <v>62</v>
      </c>
      <c r="B58" s="3" t="s">
        <v>31</v>
      </c>
      <c r="C58" s="3" t="s">
        <v>14</v>
      </c>
      <c r="D58" s="3" t="s">
        <v>63</v>
      </c>
      <c r="E58" s="3" t="s">
        <v>26</v>
      </c>
      <c r="F58" s="3">
        <v>0.06</v>
      </c>
      <c r="G58" s="3">
        <v>25.38</v>
      </c>
      <c r="H58" s="3" t="s">
        <v>17</v>
      </c>
      <c r="I58" s="3" t="s">
        <v>71</v>
      </c>
      <c r="J58" s="3" t="s">
        <v>74</v>
      </c>
      <c r="K58" s="3">
        <f>G58</f>
        <v>25.38</v>
      </c>
      <c r="L58" s="4">
        <f t="shared" si="2"/>
        <v>5004.3499999999958</v>
      </c>
      <c r="M58" s="3" t="s">
        <v>27</v>
      </c>
      <c r="N58" s="3" t="s">
        <v>75</v>
      </c>
      <c r="O58" s="3" t="s">
        <v>76</v>
      </c>
    </row>
    <row r="59" spans="1:15" ht="18.75" x14ac:dyDescent="0.25">
      <c r="L59" s="4">
        <f t="shared" si="2"/>
        <v>5004.3499999999958</v>
      </c>
    </row>
    <row r="60" spans="1:15" ht="18.75" x14ac:dyDescent="0.25">
      <c r="L60" s="4">
        <f t="shared" si="2"/>
        <v>5004.3499999999958</v>
      </c>
    </row>
    <row r="61" spans="1:15" ht="18.75" x14ac:dyDescent="0.25">
      <c r="L61" s="4">
        <f t="shared" si="2"/>
        <v>5004.3499999999958</v>
      </c>
    </row>
    <row r="62" spans="1:15" ht="18.75" x14ac:dyDescent="0.25">
      <c r="L62" s="4">
        <f t="shared" si="2"/>
        <v>5004.3499999999958</v>
      </c>
    </row>
    <row r="63" spans="1:15" ht="18.75" x14ac:dyDescent="0.25">
      <c r="L63" s="4">
        <f t="shared" si="2"/>
        <v>5004.3499999999958</v>
      </c>
    </row>
    <row r="64" spans="1:15" ht="18.75" x14ac:dyDescent="0.25">
      <c r="L64" s="4">
        <f t="shared" si="2"/>
        <v>5004.3499999999958</v>
      </c>
    </row>
    <row r="65" spans="12:12" ht="18.75" x14ac:dyDescent="0.25">
      <c r="L65" s="4">
        <f t="shared" si="2"/>
        <v>5004.3499999999958</v>
      </c>
    </row>
    <row r="66" spans="12:12" ht="18.75" x14ac:dyDescent="0.25">
      <c r="L66" s="4">
        <f t="shared" si="2"/>
        <v>5004.3499999999958</v>
      </c>
    </row>
    <row r="67" spans="12:12" ht="18.75" x14ac:dyDescent="0.25">
      <c r="L67" s="4">
        <f t="shared" si="2"/>
        <v>5004.3499999999958</v>
      </c>
    </row>
    <row r="68" spans="12:12" ht="18.75" x14ac:dyDescent="0.25">
      <c r="L68" s="4">
        <f t="shared" si="2"/>
        <v>5004.3499999999958</v>
      </c>
    </row>
    <row r="69" spans="12:12" ht="18.75" x14ac:dyDescent="0.25">
      <c r="L69" s="4">
        <f t="shared" si="2"/>
        <v>5004.3499999999958</v>
      </c>
    </row>
    <row r="70" spans="12:12" ht="18.75" x14ac:dyDescent="0.25">
      <c r="L70" s="4">
        <f t="shared" si="2"/>
        <v>5004.3499999999958</v>
      </c>
    </row>
    <row r="71" spans="12:12" ht="18.75" x14ac:dyDescent="0.25">
      <c r="L71" s="4">
        <f t="shared" si="2"/>
        <v>5004.3499999999958</v>
      </c>
    </row>
    <row r="72" spans="12:12" ht="18.75" x14ac:dyDescent="0.25">
      <c r="L72" s="4">
        <f t="shared" si="2"/>
        <v>5004.3499999999958</v>
      </c>
    </row>
    <row r="73" spans="12:12" ht="18.75" x14ac:dyDescent="0.25">
      <c r="L73" s="4">
        <f t="shared" si="2"/>
        <v>5004.3499999999958</v>
      </c>
    </row>
    <row r="74" spans="12:12" ht="18.75" x14ac:dyDescent="0.25">
      <c r="L74" s="4">
        <f t="shared" si="2"/>
        <v>5004.3499999999958</v>
      </c>
    </row>
    <row r="75" spans="12:12" ht="18.75" x14ac:dyDescent="0.25">
      <c r="L75" s="4">
        <f t="shared" si="2"/>
        <v>5004.3499999999958</v>
      </c>
    </row>
    <row r="76" spans="12:12" ht="18.75" x14ac:dyDescent="0.25">
      <c r="L76" s="4">
        <f t="shared" si="2"/>
        <v>5004.3499999999958</v>
      </c>
    </row>
    <row r="77" spans="12:12" ht="18.75" x14ac:dyDescent="0.25">
      <c r="L77" s="4">
        <f t="shared" si="2"/>
        <v>5004.3499999999958</v>
      </c>
    </row>
    <row r="78" spans="12:12" ht="18.75" x14ac:dyDescent="0.25">
      <c r="L78" s="4">
        <f t="shared" si="2"/>
        <v>5004.3499999999958</v>
      </c>
    </row>
    <row r="79" spans="12:12" ht="18.75" x14ac:dyDescent="0.25">
      <c r="L79" s="4">
        <f t="shared" si="2"/>
        <v>5004.3499999999958</v>
      </c>
    </row>
    <row r="80" spans="12:12" ht="18.75" x14ac:dyDescent="0.25">
      <c r="L80" s="4">
        <f t="shared" si="2"/>
        <v>5004.3499999999958</v>
      </c>
    </row>
    <row r="81" spans="12:12" ht="18.75" x14ac:dyDescent="0.25">
      <c r="L81" s="4">
        <f t="shared" si="2"/>
        <v>5004.3499999999958</v>
      </c>
    </row>
    <row r="82" spans="12:12" ht="18.75" x14ac:dyDescent="0.25">
      <c r="L82" s="4">
        <f t="shared" si="2"/>
        <v>5004.3499999999958</v>
      </c>
    </row>
    <row r="83" spans="12:12" ht="18.75" x14ac:dyDescent="0.25">
      <c r="L83" s="4">
        <f t="shared" si="2"/>
        <v>5004.3499999999958</v>
      </c>
    </row>
    <row r="84" spans="12:12" ht="18.75" x14ac:dyDescent="0.25">
      <c r="L84" s="4">
        <f t="shared" si="2"/>
        <v>5004.3499999999958</v>
      </c>
    </row>
    <row r="85" spans="12:12" ht="18.75" x14ac:dyDescent="0.25">
      <c r="L85" s="4">
        <f t="shared" si="2"/>
        <v>5004.3499999999958</v>
      </c>
    </row>
    <row r="86" spans="12:12" ht="18.75" x14ac:dyDescent="0.25">
      <c r="L86" s="4">
        <f t="shared" si="2"/>
        <v>5004.3499999999958</v>
      </c>
    </row>
    <row r="87" spans="12:12" ht="18.75" x14ac:dyDescent="0.25">
      <c r="L87" s="4">
        <f t="shared" si="2"/>
        <v>5004.3499999999958</v>
      </c>
    </row>
    <row r="88" spans="12:12" ht="18.75" x14ac:dyDescent="0.25">
      <c r="L88" s="4">
        <f t="shared" si="2"/>
        <v>5004.3499999999958</v>
      </c>
    </row>
    <row r="89" spans="12:12" ht="18.75" x14ac:dyDescent="0.25">
      <c r="L89" s="4">
        <f t="shared" si="2"/>
        <v>5004.3499999999958</v>
      </c>
    </row>
    <row r="90" spans="12:12" ht="18.75" x14ac:dyDescent="0.25">
      <c r="L90" s="4">
        <f t="shared" si="2"/>
        <v>5004.3499999999958</v>
      </c>
    </row>
    <row r="91" spans="12:12" ht="18.75" x14ac:dyDescent="0.25">
      <c r="L91" s="4">
        <f t="shared" si="2"/>
        <v>5004.3499999999958</v>
      </c>
    </row>
    <row r="92" spans="12:12" ht="18.75" x14ac:dyDescent="0.25">
      <c r="L92" s="4">
        <f t="shared" si="2"/>
        <v>5004.3499999999958</v>
      </c>
    </row>
    <row r="93" spans="12:12" ht="18.75" x14ac:dyDescent="0.25">
      <c r="L93" s="4">
        <f t="shared" si="2"/>
        <v>5004.3499999999958</v>
      </c>
    </row>
    <row r="94" spans="12:12" ht="18.75" x14ac:dyDescent="0.25">
      <c r="L94" s="4">
        <f t="shared" si="2"/>
        <v>5004.3499999999958</v>
      </c>
    </row>
    <row r="95" spans="12:12" ht="18.75" x14ac:dyDescent="0.25">
      <c r="L95" s="4">
        <f t="shared" si="2"/>
        <v>5004.3499999999958</v>
      </c>
    </row>
    <row r="96" spans="12:12" ht="18.75" x14ac:dyDescent="0.25">
      <c r="L96" s="4">
        <f t="shared" si="2"/>
        <v>5004.3499999999958</v>
      </c>
    </row>
    <row r="97" spans="12:12" ht="18.75" x14ac:dyDescent="0.25">
      <c r="L97" s="4">
        <f t="shared" si="2"/>
        <v>5004.3499999999958</v>
      </c>
    </row>
    <row r="98" spans="12:12" ht="18.75" x14ac:dyDescent="0.25">
      <c r="L98" s="4">
        <f t="shared" si="2"/>
        <v>5004.3499999999958</v>
      </c>
    </row>
    <row r="99" spans="12:12" ht="18.75" x14ac:dyDescent="0.25">
      <c r="L99" s="4">
        <f t="shared" si="2"/>
        <v>5004.3499999999958</v>
      </c>
    </row>
    <row r="100" spans="12:12" ht="18.75" x14ac:dyDescent="0.25">
      <c r="L100" s="4">
        <f t="shared" si="2"/>
        <v>5004.3499999999958</v>
      </c>
    </row>
    <row r="101" spans="12:12" ht="18.75" x14ac:dyDescent="0.25">
      <c r="L101" s="4">
        <f t="shared" si="2"/>
        <v>5004.3499999999958</v>
      </c>
    </row>
    <row r="102" spans="12:12" ht="18.75" x14ac:dyDescent="0.25">
      <c r="L102" s="4">
        <f t="shared" si="2"/>
        <v>5004.3499999999958</v>
      </c>
    </row>
    <row r="103" spans="12:12" ht="18.75" x14ac:dyDescent="0.25">
      <c r="L103" s="4">
        <f t="shared" si="2"/>
        <v>5004.3499999999958</v>
      </c>
    </row>
    <row r="104" spans="12:12" ht="18.75" x14ac:dyDescent="0.25">
      <c r="L104" s="4">
        <f t="shared" si="2"/>
        <v>5004.3499999999958</v>
      </c>
    </row>
    <row r="105" spans="12:12" ht="18.75" x14ac:dyDescent="0.25">
      <c r="L105" s="4">
        <f t="shared" si="2"/>
        <v>5004.3499999999958</v>
      </c>
    </row>
    <row r="106" spans="12:12" ht="18.75" x14ac:dyDescent="0.25">
      <c r="L106" s="4">
        <f t="shared" si="2"/>
        <v>5004.3499999999958</v>
      </c>
    </row>
    <row r="107" spans="12:12" ht="18.75" x14ac:dyDescent="0.25">
      <c r="L107" s="4">
        <f t="shared" si="2"/>
        <v>5004.3499999999958</v>
      </c>
    </row>
    <row r="108" spans="12:12" ht="18.75" x14ac:dyDescent="0.25">
      <c r="L108" s="4">
        <f t="shared" si="2"/>
        <v>5004.3499999999958</v>
      </c>
    </row>
    <row r="109" spans="12:12" ht="18.75" x14ac:dyDescent="0.25">
      <c r="L109" s="4">
        <f t="shared" si="2"/>
        <v>5004.3499999999958</v>
      </c>
    </row>
    <row r="110" spans="12:12" ht="18.75" x14ac:dyDescent="0.25">
      <c r="L110" s="4">
        <f t="shared" si="2"/>
        <v>5004.3499999999958</v>
      </c>
    </row>
    <row r="111" spans="12:12" ht="18.75" x14ac:dyDescent="0.25">
      <c r="L111" s="4">
        <f t="shared" si="2"/>
        <v>5004.3499999999958</v>
      </c>
    </row>
    <row r="112" spans="12:12" ht="18.75" x14ac:dyDescent="0.25">
      <c r="L112" s="4">
        <f t="shared" si="2"/>
        <v>5004.3499999999958</v>
      </c>
    </row>
    <row r="113" spans="12:12" ht="18.75" x14ac:dyDescent="0.25">
      <c r="L113" s="4">
        <f t="shared" ref="L113:L176" si="3">L112+K113</f>
        <v>5004.3499999999958</v>
      </c>
    </row>
    <row r="114" spans="12:12" ht="18.75" x14ac:dyDescent="0.25">
      <c r="L114" s="4">
        <f t="shared" si="3"/>
        <v>5004.3499999999958</v>
      </c>
    </row>
    <row r="115" spans="12:12" ht="18.75" x14ac:dyDescent="0.25">
      <c r="L115" s="4">
        <f t="shared" si="3"/>
        <v>5004.3499999999958</v>
      </c>
    </row>
    <row r="116" spans="12:12" ht="18.75" x14ac:dyDescent="0.25">
      <c r="L116" s="4">
        <f t="shared" si="3"/>
        <v>5004.3499999999958</v>
      </c>
    </row>
    <row r="117" spans="12:12" ht="18.75" x14ac:dyDescent="0.25">
      <c r="L117" s="4">
        <f t="shared" si="3"/>
        <v>5004.3499999999958</v>
      </c>
    </row>
    <row r="118" spans="12:12" ht="18.75" x14ac:dyDescent="0.25">
      <c r="L118" s="4">
        <f t="shared" si="3"/>
        <v>5004.3499999999958</v>
      </c>
    </row>
    <row r="119" spans="12:12" ht="18.75" x14ac:dyDescent="0.25">
      <c r="L119" s="4">
        <f t="shared" si="3"/>
        <v>5004.3499999999958</v>
      </c>
    </row>
    <row r="120" spans="12:12" ht="18.75" x14ac:dyDescent="0.25">
      <c r="L120" s="4">
        <f t="shared" si="3"/>
        <v>5004.3499999999958</v>
      </c>
    </row>
    <row r="121" spans="12:12" ht="18.75" x14ac:dyDescent="0.25">
      <c r="L121" s="4">
        <f t="shared" si="3"/>
        <v>5004.3499999999958</v>
      </c>
    </row>
    <row r="122" spans="12:12" ht="18.75" x14ac:dyDescent="0.25">
      <c r="L122" s="4">
        <f t="shared" si="3"/>
        <v>5004.3499999999958</v>
      </c>
    </row>
    <row r="123" spans="12:12" ht="18.75" x14ac:dyDescent="0.25">
      <c r="L123" s="4">
        <f t="shared" si="3"/>
        <v>5004.3499999999958</v>
      </c>
    </row>
    <row r="124" spans="12:12" ht="18.75" x14ac:dyDescent="0.25">
      <c r="L124" s="4">
        <f t="shared" si="3"/>
        <v>5004.3499999999958</v>
      </c>
    </row>
    <row r="125" spans="12:12" ht="18.75" x14ac:dyDescent="0.25">
      <c r="L125" s="4">
        <f t="shared" si="3"/>
        <v>5004.3499999999958</v>
      </c>
    </row>
    <row r="126" spans="12:12" ht="18.75" x14ac:dyDescent="0.25">
      <c r="L126" s="4">
        <f t="shared" si="3"/>
        <v>5004.3499999999958</v>
      </c>
    </row>
    <row r="127" spans="12:12" ht="18.75" x14ac:dyDescent="0.25">
      <c r="L127" s="4">
        <f t="shared" si="3"/>
        <v>5004.3499999999958</v>
      </c>
    </row>
    <row r="128" spans="12:12" ht="18.75" x14ac:dyDescent="0.25">
      <c r="L128" s="4">
        <f t="shared" si="3"/>
        <v>5004.3499999999958</v>
      </c>
    </row>
    <row r="129" spans="12:12" ht="18.75" x14ac:dyDescent="0.25">
      <c r="L129" s="4">
        <f t="shared" si="3"/>
        <v>5004.3499999999958</v>
      </c>
    </row>
    <row r="130" spans="12:12" ht="18.75" x14ac:dyDescent="0.25">
      <c r="L130" s="4">
        <f t="shared" si="3"/>
        <v>5004.3499999999958</v>
      </c>
    </row>
    <row r="131" spans="12:12" ht="18.75" x14ac:dyDescent="0.25">
      <c r="L131" s="4">
        <f t="shared" si="3"/>
        <v>5004.3499999999958</v>
      </c>
    </row>
    <row r="132" spans="12:12" ht="18.75" x14ac:dyDescent="0.25">
      <c r="L132" s="4">
        <f t="shared" si="3"/>
        <v>5004.3499999999958</v>
      </c>
    </row>
    <row r="133" spans="12:12" ht="18.75" x14ac:dyDescent="0.25">
      <c r="L133" s="4">
        <f t="shared" si="3"/>
        <v>5004.3499999999958</v>
      </c>
    </row>
    <row r="134" spans="12:12" ht="18.75" x14ac:dyDescent="0.25">
      <c r="L134" s="4">
        <f t="shared" si="3"/>
        <v>5004.3499999999958</v>
      </c>
    </row>
    <row r="135" spans="12:12" ht="18.75" x14ac:dyDescent="0.25">
      <c r="L135" s="4">
        <f t="shared" si="3"/>
        <v>5004.3499999999958</v>
      </c>
    </row>
    <row r="136" spans="12:12" ht="18.75" x14ac:dyDescent="0.25">
      <c r="L136" s="4">
        <f t="shared" si="3"/>
        <v>5004.3499999999958</v>
      </c>
    </row>
    <row r="137" spans="12:12" ht="18.75" x14ac:dyDescent="0.25">
      <c r="L137" s="4">
        <f t="shared" si="3"/>
        <v>5004.3499999999958</v>
      </c>
    </row>
    <row r="138" spans="12:12" ht="18.75" x14ac:dyDescent="0.25">
      <c r="L138" s="4">
        <f t="shared" si="3"/>
        <v>5004.3499999999958</v>
      </c>
    </row>
    <row r="139" spans="12:12" ht="18.75" x14ac:dyDescent="0.25">
      <c r="L139" s="4">
        <f t="shared" si="3"/>
        <v>5004.3499999999958</v>
      </c>
    </row>
    <row r="140" spans="12:12" ht="18.75" x14ac:dyDescent="0.25">
      <c r="L140" s="4">
        <f t="shared" si="3"/>
        <v>5004.3499999999958</v>
      </c>
    </row>
    <row r="141" spans="12:12" ht="18.75" x14ac:dyDescent="0.25">
      <c r="L141" s="4">
        <f t="shared" si="3"/>
        <v>5004.3499999999958</v>
      </c>
    </row>
    <row r="142" spans="12:12" ht="18.75" x14ac:dyDescent="0.25">
      <c r="L142" s="4">
        <f t="shared" si="3"/>
        <v>5004.3499999999958</v>
      </c>
    </row>
    <row r="143" spans="12:12" ht="18.75" x14ac:dyDescent="0.25">
      <c r="L143" s="4">
        <f t="shared" si="3"/>
        <v>5004.3499999999958</v>
      </c>
    </row>
    <row r="144" spans="12:12" ht="18.75" x14ac:dyDescent="0.25">
      <c r="L144" s="4">
        <f t="shared" si="3"/>
        <v>5004.3499999999958</v>
      </c>
    </row>
    <row r="145" spans="12:12" ht="18.75" x14ac:dyDescent="0.25">
      <c r="L145" s="4">
        <f t="shared" si="3"/>
        <v>5004.3499999999958</v>
      </c>
    </row>
    <row r="146" spans="12:12" ht="18.75" x14ac:dyDescent="0.25">
      <c r="L146" s="4">
        <f t="shared" si="3"/>
        <v>5004.3499999999958</v>
      </c>
    </row>
    <row r="147" spans="12:12" ht="18.75" x14ac:dyDescent="0.25">
      <c r="L147" s="4">
        <f t="shared" si="3"/>
        <v>5004.3499999999958</v>
      </c>
    </row>
    <row r="148" spans="12:12" ht="18.75" x14ac:dyDescent="0.25">
      <c r="L148" s="4">
        <f t="shared" si="3"/>
        <v>5004.3499999999958</v>
      </c>
    </row>
    <row r="149" spans="12:12" ht="18.75" x14ac:dyDescent="0.25">
      <c r="L149" s="4">
        <f t="shared" si="3"/>
        <v>5004.3499999999958</v>
      </c>
    </row>
    <row r="150" spans="12:12" ht="18.75" x14ac:dyDescent="0.25">
      <c r="L150" s="4">
        <f t="shared" si="3"/>
        <v>5004.3499999999958</v>
      </c>
    </row>
    <row r="151" spans="12:12" ht="18.75" x14ac:dyDescent="0.25">
      <c r="L151" s="4">
        <f t="shared" si="3"/>
        <v>5004.3499999999958</v>
      </c>
    </row>
    <row r="152" spans="12:12" ht="18.75" x14ac:dyDescent="0.25">
      <c r="L152" s="4">
        <f t="shared" si="3"/>
        <v>5004.3499999999958</v>
      </c>
    </row>
    <row r="153" spans="12:12" ht="18.75" x14ac:dyDescent="0.25">
      <c r="L153" s="4">
        <f t="shared" si="3"/>
        <v>5004.3499999999958</v>
      </c>
    </row>
    <row r="154" spans="12:12" ht="18.75" x14ac:dyDescent="0.25">
      <c r="L154" s="4">
        <f t="shared" si="3"/>
        <v>5004.3499999999958</v>
      </c>
    </row>
    <row r="155" spans="12:12" ht="18.75" x14ac:dyDescent="0.25">
      <c r="L155" s="4">
        <f t="shared" si="3"/>
        <v>5004.3499999999958</v>
      </c>
    </row>
    <row r="156" spans="12:12" ht="18.75" x14ac:dyDescent="0.25">
      <c r="L156" s="4">
        <f t="shared" si="3"/>
        <v>5004.3499999999958</v>
      </c>
    </row>
    <row r="157" spans="12:12" ht="18.75" x14ac:dyDescent="0.25">
      <c r="L157" s="4">
        <f t="shared" si="3"/>
        <v>5004.3499999999958</v>
      </c>
    </row>
    <row r="158" spans="12:12" ht="18.75" x14ac:dyDescent="0.25">
      <c r="L158" s="4">
        <f t="shared" si="3"/>
        <v>5004.3499999999958</v>
      </c>
    </row>
    <row r="159" spans="12:12" ht="18.75" x14ac:dyDescent="0.25">
      <c r="L159" s="4">
        <f t="shared" si="3"/>
        <v>5004.3499999999958</v>
      </c>
    </row>
    <row r="160" spans="12:12" ht="18.75" x14ac:dyDescent="0.25">
      <c r="L160" s="4">
        <f t="shared" si="3"/>
        <v>5004.3499999999958</v>
      </c>
    </row>
    <row r="161" spans="12:12" ht="18.75" x14ac:dyDescent="0.25">
      <c r="L161" s="4">
        <f t="shared" si="3"/>
        <v>5004.3499999999958</v>
      </c>
    </row>
    <row r="162" spans="12:12" ht="18.75" x14ac:dyDescent="0.25">
      <c r="L162" s="4">
        <f t="shared" si="3"/>
        <v>5004.3499999999958</v>
      </c>
    </row>
    <row r="163" spans="12:12" ht="18.75" x14ac:dyDescent="0.25">
      <c r="L163" s="4">
        <f t="shared" si="3"/>
        <v>5004.3499999999958</v>
      </c>
    </row>
    <row r="164" spans="12:12" ht="18.75" x14ac:dyDescent="0.25">
      <c r="L164" s="4">
        <f t="shared" si="3"/>
        <v>5004.3499999999958</v>
      </c>
    </row>
    <row r="165" spans="12:12" ht="18.75" x14ac:dyDescent="0.25">
      <c r="L165" s="4">
        <f t="shared" si="3"/>
        <v>5004.3499999999958</v>
      </c>
    </row>
    <row r="166" spans="12:12" ht="18.75" x14ac:dyDescent="0.25">
      <c r="L166" s="4">
        <f t="shared" si="3"/>
        <v>5004.3499999999958</v>
      </c>
    </row>
    <row r="167" spans="12:12" ht="18.75" x14ac:dyDescent="0.25">
      <c r="L167" s="4">
        <f t="shared" si="3"/>
        <v>5004.3499999999958</v>
      </c>
    </row>
    <row r="168" spans="12:12" ht="18.75" x14ac:dyDescent="0.25">
      <c r="L168" s="4">
        <f t="shared" si="3"/>
        <v>5004.3499999999958</v>
      </c>
    </row>
    <row r="169" spans="12:12" ht="18.75" x14ac:dyDescent="0.25">
      <c r="L169" s="4">
        <f t="shared" si="3"/>
        <v>5004.3499999999958</v>
      </c>
    </row>
    <row r="170" spans="12:12" ht="18.75" x14ac:dyDescent="0.25">
      <c r="L170" s="4">
        <f t="shared" si="3"/>
        <v>5004.3499999999958</v>
      </c>
    </row>
    <row r="171" spans="12:12" ht="18.75" x14ac:dyDescent="0.25">
      <c r="L171" s="4">
        <f t="shared" si="3"/>
        <v>5004.3499999999958</v>
      </c>
    </row>
    <row r="172" spans="12:12" ht="18.75" x14ac:dyDescent="0.25">
      <c r="L172" s="4">
        <f t="shared" si="3"/>
        <v>5004.3499999999958</v>
      </c>
    </row>
    <row r="173" spans="12:12" ht="18.75" x14ac:dyDescent="0.25">
      <c r="L173" s="4">
        <f t="shared" si="3"/>
        <v>5004.3499999999958</v>
      </c>
    </row>
    <row r="174" spans="12:12" ht="18.75" x14ac:dyDescent="0.25">
      <c r="L174" s="4">
        <f t="shared" si="3"/>
        <v>5004.3499999999958</v>
      </c>
    </row>
    <row r="175" spans="12:12" ht="18.75" x14ac:dyDescent="0.25">
      <c r="L175" s="4">
        <f t="shared" si="3"/>
        <v>5004.3499999999958</v>
      </c>
    </row>
    <row r="176" spans="12:12" ht="18.75" x14ac:dyDescent="0.25">
      <c r="L176" s="4">
        <f t="shared" si="3"/>
        <v>5004.3499999999958</v>
      </c>
    </row>
    <row r="177" spans="12:12" ht="18.75" x14ac:dyDescent="0.25">
      <c r="L177" s="4">
        <f t="shared" ref="L177:L240" si="4">L176+K177</f>
        <v>5004.3499999999958</v>
      </c>
    </row>
    <row r="178" spans="12:12" ht="18.75" x14ac:dyDescent="0.25">
      <c r="L178" s="4">
        <f t="shared" si="4"/>
        <v>5004.3499999999958</v>
      </c>
    </row>
    <row r="179" spans="12:12" ht="18.75" x14ac:dyDescent="0.25">
      <c r="L179" s="4">
        <f t="shared" si="4"/>
        <v>5004.3499999999958</v>
      </c>
    </row>
    <row r="180" spans="12:12" ht="18.75" x14ac:dyDescent="0.25">
      <c r="L180" s="4">
        <f t="shared" si="4"/>
        <v>5004.3499999999958</v>
      </c>
    </row>
    <row r="181" spans="12:12" ht="18.75" x14ac:dyDescent="0.25">
      <c r="L181" s="4">
        <f t="shared" si="4"/>
        <v>5004.3499999999958</v>
      </c>
    </row>
    <row r="182" spans="12:12" ht="18.75" x14ac:dyDescent="0.25">
      <c r="L182" s="4">
        <f t="shared" si="4"/>
        <v>5004.3499999999958</v>
      </c>
    </row>
    <row r="183" spans="12:12" ht="18.75" x14ac:dyDescent="0.25">
      <c r="L183" s="4">
        <f t="shared" si="4"/>
        <v>5004.3499999999958</v>
      </c>
    </row>
    <row r="184" spans="12:12" ht="18.75" x14ac:dyDescent="0.25">
      <c r="L184" s="4">
        <f t="shared" si="4"/>
        <v>5004.3499999999958</v>
      </c>
    </row>
    <row r="185" spans="12:12" ht="18.75" x14ac:dyDescent="0.25">
      <c r="L185" s="4">
        <f t="shared" si="4"/>
        <v>5004.3499999999958</v>
      </c>
    </row>
    <row r="186" spans="12:12" ht="18.75" x14ac:dyDescent="0.25">
      <c r="L186" s="4">
        <f t="shared" si="4"/>
        <v>5004.3499999999958</v>
      </c>
    </row>
    <row r="187" spans="12:12" ht="18.75" x14ac:dyDescent="0.25">
      <c r="L187" s="4">
        <f t="shared" si="4"/>
        <v>5004.3499999999958</v>
      </c>
    </row>
    <row r="188" spans="12:12" ht="18.75" x14ac:dyDescent="0.25">
      <c r="L188" s="4">
        <f t="shared" si="4"/>
        <v>5004.3499999999958</v>
      </c>
    </row>
    <row r="189" spans="12:12" ht="18.75" x14ac:dyDescent="0.25">
      <c r="L189" s="4">
        <f t="shared" si="4"/>
        <v>5004.3499999999958</v>
      </c>
    </row>
    <row r="190" spans="12:12" ht="18.75" x14ac:dyDescent="0.25">
      <c r="L190" s="4">
        <f t="shared" si="4"/>
        <v>5004.3499999999958</v>
      </c>
    </row>
    <row r="191" spans="12:12" ht="18.75" x14ac:dyDescent="0.25">
      <c r="L191" s="4">
        <f t="shared" si="4"/>
        <v>5004.3499999999958</v>
      </c>
    </row>
    <row r="192" spans="12:12" ht="18.75" x14ac:dyDescent="0.25">
      <c r="L192" s="4">
        <f t="shared" si="4"/>
        <v>5004.3499999999958</v>
      </c>
    </row>
    <row r="193" spans="12:12" ht="18.75" x14ac:dyDescent="0.25">
      <c r="L193" s="4">
        <f t="shared" si="4"/>
        <v>5004.3499999999958</v>
      </c>
    </row>
    <row r="194" spans="12:12" ht="18.75" x14ac:dyDescent="0.25">
      <c r="L194" s="4">
        <f t="shared" si="4"/>
        <v>5004.3499999999958</v>
      </c>
    </row>
    <row r="195" spans="12:12" ht="18.75" x14ac:dyDescent="0.25">
      <c r="L195" s="4">
        <f t="shared" si="4"/>
        <v>5004.3499999999958</v>
      </c>
    </row>
    <row r="196" spans="12:12" ht="18.75" x14ac:dyDescent="0.25">
      <c r="L196" s="4">
        <f t="shared" si="4"/>
        <v>5004.3499999999958</v>
      </c>
    </row>
    <row r="197" spans="12:12" ht="18.75" x14ac:dyDescent="0.25">
      <c r="L197" s="4">
        <f t="shared" si="4"/>
        <v>5004.3499999999958</v>
      </c>
    </row>
    <row r="198" spans="12:12" ht="18.75" x14ac:dyDescent="0.25">
      <c r="L198" s="4">
        <f t="shared" si="4"/>
        <v>5004.3499999999958</v>
      </c>
    </row>
    <row r="199" spans="12:12" ht="18.75" x14ac:dyDescent="0.25">
      <c r="L199" s="4">
        <f t="shared" si="4"/>
        <v>5004.3499999999958</v>
      </c>
    </row>
    <row r="200" spans="12:12" ht="18.75" x14ac:dyDescent="0.25">
      <c r="L200" s="4">
        <f t="shared" si="4"/>
        <v>5004.3499999999958</v>
      </c>
    </row>
    <row r="201" spans="12:12" ht="18.75" x14ac:dyDescent="0.25">
      <c r="L201" s="4">
        <f t="shared" si="4"/>
        <v>5004.3499999999958</v>
      </c>
    </row>
    <row r="202" spans="12:12" ht="18.75" x14ac:dyDescent="0.25">
      <c r="L202" s="4">
        <f t="shared" si="4"/>
        <v>5004.3499999999958</v>
      </c>
    </row>
    <row r="203" spans="12:12" ht="18.75" x14ac:dyDescent="0.25">
      <c r="L203" s="4">
        <f t="shared" si="4"/>
        <v>5004.3499999999958</v>
      </c>
    </row>
    <row r="204" spans="12:12" ht="18.75" x14ac:dyDescent="0.25">
      <c r="L204" s="4">
        <f t="shared" si="4"/>
        <v>5004.3499999999958</v>
      </c>
    </row>
    <row r="205" spans="12:12" ht="18.75" x14ac:dyDescent="0.25">
      <c r="L205" s="4">
        <f t="shared" si="4"/>
        <v>5004.3499999999958</v>
      </c>
    </row>
    <row r="206" spans="12:12" ht="18.75" x14ac:dyDescent="0.25">
      <c r="L206" s="4">
        <f t="shared" si="4"/>
        <v>5004.3499999999958</v>
      </c>
    </row>
    <row r="207" spans="12:12" ht="18.75" x14ac:dyDescent="0.25">
      <c r="L207" s="4">
        <f t="shared" si="4"/>
        <v>5004.3499999999958</v>
      </c>
    </row>
    <row r="208" spans="12:12" ht="18.75" x14ac:dyDescent="0.25">
      <c r="L208" s="4">
        <f t="shared" si="4"/>
        <v>5004.3499999999958</v>
      </c>
    </row>
    <row r="209" spans="12:12" ht="18.75" x14ac:dyDescent="0.25">
      <c r="L209" s="4">
        <f t="shared" si="4"/>
        <v>5004.3499999999958</v>
      </c>
    </row>
    <row r="210" spans="12:12" ht="18.75" x14ac:dyDescent="0.25">
      <c r="L210" s="4">
        <f t="shared" si="4"/>
        <v>5004.3499999999958</v>
      </c>
    </row>
    <row r="211" spans="12:12" ht="18.75" x14ac:dyDescent="0.25">
      <c r="L211" s="4">
        <f t="shared" si="4"/>
        <v>5004.3499999999958</v>
      </c>
    </row>
    <row r="212" spans="12:12" ht="18.75" x14ac:dyDescent="0.25">
      <c r="L212" s="4">
        <f t="shared" si="4"/>
        <v>5004.3499999999958</v>
      </c>
    </row>
    <row r="213" spans="12:12" ht="18.75" x14ac:dyDescent="0.25">
      <c r="L213" s="4">
        <f t="shared" si="4"/>
        <v>5004.3499999999958</v>
      </c>
    </row>
    <row r="214" spans="12:12" ht="18.75" x14ac:dyDescent="0.25">
      <c r="L214" s="4">
        <f t="shared" si="4"/>
        <v>5004.3499999999958</v>
      </c>
    </row>
    <row r="215" spans="12:12" ht="18.75" x14ac:dyDescent="0.25">
      <c r="L215" s="4">
        <f t="shared" si="4"/>
        <v>5004.3499999999958</v>
      </c>
    </row>
    <row r="216" spans="12:12" ht="18.75" x14ac:dyDescent="0.25">
      <c r="L216" s="4">
        <f t="shared" si="4"/>
        <v>5004.3499999999958</v>
      </c>
    </row>
    <row r="217" spans="12:12" ht="18.75" x14ac:dyDescent="0.25">
      <c r="L217" s="4">
        <f t="shared" si="4"/>
        <v>5004.3499999999958</v>
      </c>
    </row>
    <row r="218" spans="12:12" ht="18.75" x14ac:dyDescent="0.25">
      <c r="L218" s="4">
        <f t="shared" si="4"/>
        <v>5004.3499999999958</v>
      </c>
    </row>
    <row r="219" spans="12:12" ht="18.75" x14ac:dyDescent="0.25">
      <c r="L219" s="4">
        <f t="shared" si="4"/>
        <v>5004.3499999999958</v>
      </c>
    </row>
    <row r="220" spans="12:12" ht="18.75" x14ac:dyDescent="0.25">
      <c r="L220" s="4">
        <f t="shared" si="4"/>
        <v>5004.3499999999958</v>
      </c>
    </row>
    <row r="221" spans="12:12" ht="18.75" x14ac:dyDescent="0.25">
      <c r="L221" s="4">
        <f t="shared" si="4"/>
        <v>5004.3499999999958</v>
      </c>
    </row>
    <row r="222" spans="12:12" ht="18.75" x14ac:dyDescent="0.25">
      <c r="L222" s="4">
        <f t="shared" si="4"/>
        <v>5004.3499999999958</v>
      </c>
    </row>
    <row r="223" spans="12:12" ht="18.75" x14ac:dyDescent="0.25">
      <c r="L223" s="4">
        <f t="shared" si="4"/>
        <v>5004.3499999999958</v>
      </c>
    </row>
    <row r="224" spans="12:12" ht="18.75" x14ac:dyDescent="0.25">
      <c r="L224" s="4">
        <f t="shared" si="4"/>
        <v>5004.3499999999958</v>
      </c>
    </row>
    <row r="225" spans="12:12" ht="18.75" x14ac:dyDescent="0.25">
      <c r="L225" s="4">
        <f t="shared" si="4"/>
        <v>5004.3499999999958</v>
      </c>
    </row>
    <row r="226" spans="12:12" ht="18.75" x14ac:dyDescent="0.25">
      <c r="L226" s="4">
        <f t="shared" si="4"/>
        <v>5004.3499999999958</v>
      </c>
    </row>
    <row r="227" spans="12:12" ht="18.75" x14ac:dyDescent="0.25">
      <c r="L227" s="4">
        <f t="shared" si="4"/>
        <v>5004.3499999999958</v>
      </c>
    </row>
    <row r="228" spans="12:12" ht="18.75" x14ac:dyDescent="0.25">
      <c r="L228" s="4">
        <f t="shared" si="4"/>
        <v>5004.3499999999958</v>
      </c>
    </row>
    <row r="229" spans="12:12" ht="18.75" x14ac:dyDescent="0.25">
      <c r="L229" s="4">
        <f t="shared" si="4"/>
        <v>5004.3499999999958</v>
      </c>
    </row>
    <row r="230" spans="12:12" ht="18.75" x14ac:dyDescent="0.25">
      <c r="L230" s="4">
        <f t="shared" si="4"/>
        <v>5004.3499999999958</v>
      </c>
    </row>
    <row r="231" spans="12:12" ht="18.75" x14ac:dyDescent="0.25">
      <c r="L231" s="4">
        <f t="shared" si="4"/>
        <v>5004.3499999999958</v>
      </c>
    </row>
    <row r="232" spans="12:12" ht="18.75" x14ac:dyDescent="0.25">
      <c r="L232" s="4">
        <f t="shared" si="4"/>
        <v>5004.3499999999958</v>
      </c>
    </row>
    <row r="233" spans="12:12" ht="18.75" x14ac:dyDescent="0.25">
      <c r="L233" s="4">
        <f t="shared" si="4"/>
        <v>5004.3499999999958</v>
      </c>
    </row>
    <row r="234" spans="12:12" ht="18.75" x14ac:dyDescent="0.25">
      <c r="L234" s="4">
        <f t="shared" si="4"/>
        <v>5004.3499999999958</v>
      </c>
    </row>
    <row r="235" spans="12:12" ht="18.75" x14ac:dyDescent="0.25">
      <c r="L235" s="4">
        <f t="shared" si="4"/>
        <v>5004.3499999999958</v>
      </c>
    </row>
    <row r="236" spans="12:12" ht="18.75" x14ac:dyDescent="0.25">
      <c r="L236" s="4">
        <f t="shared" si="4"/>
        <v>5004.3499999999958</v>
      </c>
    </row>
    <row r="237" spans="12:12" ht="18.75" x14ac:dyDescent="0.25">
      <c r="L237" s="4">
        <f t="shared" si="4"/>
        <v>5004.3499999999958</v>
      </c>
    </row>
    <row r="238" spans="12:12" ht="18.75" x14ac:dyDescent="0.25">
      <c r="L238" s="4">
        <f t="shared" si="4"/>
        <v>5004.3499999999958</v>
      </c>
    </row>
    <row r="239" spans="12:12" ht="18.75" x14ac:dyDescent="0.25">
      <c r="L239" s="4">
        <f t="shared" si="4"/>
        <v>5004.3499999999958</v>
      </c>
    </row>
    <row r="240" spans="12:12" ht="18.75" x14ac:dyDescent="0.25">
      <c r="L240" s="4">
        <f t="shared" si="4"/>
        <v>5004.3499999999958</v>
      </c>
    </row>
    <row r="241" spans="12:12" ht="18.75" x14ac:dyDescent="0.25">
      <c r="L241" s="4">
        <f t="shared" ref="L241:L304" si="5">L240+K241</f>
        <v>5004.3499999999958</v>
      </c>
    </row>
    <row r="242" spans="12:12" ht="18.75" x14ac:dyDescent="0.25">
      <c r="L242" s="4">
        <f t="shared" si="5"/>
        <v>5004.3499999999958</v>
      </c>
    </row>
    <row r="243" spans="12:12" ht="18.75" x14ac:dyDescent="0.25">
      <c r="L243" s="4">
        <f t="shared" si="5"/>
        <v>5004.3499999999958</v>
      </c>
    </row>
    <row r="244" spans="12:12" ht="18.75" x14ac:dyDescent="0.25">
      <c r="L244" s="4">
        <f t="shared" si="5"/>
        <v>5004.3499999999958</v>
      </c>
    </row>
    <row r="245" spans="12:12" ht="18.75" x14ac:dyDescent="0.25">
      <c r="L245" s="4">
        <f t="shared" si="5"/>
        <v>5004.3499999999958</v>
      </c>
    </row>
    <row r="246" spans="12:12" ht="18.75" x14ac:dyDescent="0.25">
      <c r="L246" s="4">
        <f t="shared" si="5"/>
        <v>5004.3499999999958</v>
      </c>
    </row>
    <row r="247" spans="12:12" ht="18.75" x14ac:dyDescent="0.25">
      <c r="L247" s="4">
        <f t="shared" si="5"/>
        <v>5004.3499999999958</v>
      </c>
    </row>
    <row r="248" spans="12:12" ht="18.75" x14ac:dyDescent="0.25">
      <c r="L248" s="4">
        <f t="shared" si="5"/>
        <v>5004.3499999999958</v>
      </c>
    </row>
    <row r="249" spans="12:12" ht="18.75" x14ac:dyDescent="0.25">
      <c r="L249" s="4">
        <f t="shared" si="5"/>
        <v>5004.3499999999958</v>
      </c>
    </row>
    <row r="250" spans="12:12" ht="18.75" x14ac:dyDescent="0.25">
      <c r="L250" s="4">
        <f t="shared" si="5"/>
        <v>5004.3499999999958</v>
      </c>
    </row>
    <row r="251" spans="12:12" ht="18.75" x14ac:dyDescent="0.25">
      <c r="L251" s="4">
        <f t="shared" si="5"/>
        <v>5004.3499999999958</v>
      </c>
    </row>
    <row r="252" spans="12:12" ht="18.75" x14ac:dyDescent="0.25">
      <c r="L252" s="4">
        <f t="shared" si="5"/>
        <v>5004.3499999999958</v>
      </c>
    </row>
    <row r="253" spans="12:12" ht="18.75" x14ac:dyDescent="0.25">
      <c r="L253" s="4">
        <f t="shared" si="5"/>
        <v>5004.3499999999958</v>
      </c>
    </row>
    <row r="254" spans="12:12" ht="18.75" x14ac:dyDescent="0.25">
      <c r="L254" s="4">
        <f t="shared" si="5"/>
        <v>5004.3499999999958</v>
      </c>
    </row>
    <row r="255" spans="12:12" ht="18.75" x14ac:dyDescent="0.25">
      <c r="L255" s="4">
        <f t="shared" si="5"/>
        <v>5004.3499999999958</v>
      </c>
    </row>
    <row r="256" spans="12:12" ht="18.75" x14ac:dyDescent="0.25">
      <c r="L256" s="4">
        <f t="shared" si="5"/>
        <v>5004.3499999999958</v>
      </c>
    </row>
    <row r="257" spans="12:12" ht="18.75" x14ac:dyDescent="0.25">
      <c r="L257" s="4">
        <f t="shared" si="5"/>
        <v>5004.3499999999958</v>
      </c>
    </row>
    <row r="258" spans="12:12" ht="18.75" x14ac:dyDescent="0.25">
      <c r="L258" s="4">
        <f t="shared" si="5"/>
        <v>5004.3499999999958</v>
      </c>
    </row>
    <row r="259" spans="12:12" ht="18.75" x14ac:dyDescent="0.25">
      <c r="L259" s="4">
        <f t="shared" si="5"/>
        <v>5004.3499999999958</v>
      </c>
    </row>
    <row r="260" spans="12:12" ht="18.75" x14ac:dyDescent="0.25">
      <c r="L260" s="4">
        <f t="shared" si="5"/>
        <v>5004.3499999999958</v>
      </c>
    </row>
    <row r="261" spans="12:12" ht="18.75" x14ac:dyDescent="0.25">
      <c r="L261" s="4">
        <f t="shared" si="5"/>
        <v>5004.3499999999958</v>
      </c>
    </row>
    <row r="262" spans="12:12" ht="18.75" x14ac:dyDescent="0.25">
      <c r="L262" s="4">
        <f t="shared" si="5"/>
        <v>5004.3499999999958</v>
      </c>
    </row>
    <row r="263" spans="12:12" ht="18.75" x14ac:dyDescent="0.25">
      <c r="L263" s="4">
        <f t="shared" si="5"/>
        <v>5004.3499999999958</v>
      </c>
    </row>
    <row r="264" spans="12:12" ht="18.75" x14ac:dyDescent="0.25">
      <c r="L264" s="4">
        <f t="shared" si="5"/>
        <v>5004.3499999999958</v>
      </c>
    </row>
    <row r="265" spans="12:12" ht="18.75" x14ac:dyDescent="0.25">
      <c r="L265" s="4">
        <f t="shared" si="5"/>
        <v>5004.3499999999958</v>
      </c>
    </row>
    <row r="266" spans="12:12" ht="18.75" x14ac:dyDescent="0.25">
      <c r="L266" s="4">
        <f t="shared" si="5"/>
        <v>5004.3499999999958</v>
      </c>
    </row>
    <row r="267" spans="12:12" ht="18.75" x14ac:dyDescent="0.25">
      <c r="L267" s="4">
        <f t="shared" si="5"/>
        <v>5004.3499999999958</v>
      </c>
    </row>
    <row r="268" spans="12:12" ht="18.75" x14ac:dyDescent="0.25">
      <c r="L268" s="4">
        <f t="shared" si="5"/>
        <v>5004.3499999999958</v>
      </c>
    </row>
    <row r="269" spans="12:12" ht="18.75" x14ac:dyDescent="0.25">
      <c r="L269" s="4">
        <f t="shared" si="5"/>
        <v>5004.3499999999958</v>
      </c>
    </row>
    <row r="270" spans="12:12" ht="18.75" x14ac:dyDescent="0.25">
      <c r="L270" s="4">
        <f t="shared" si="5"/>
        <v>5004.3499999999958</v>
      </c>
    </row>
    <row r="271" spans="12:12" ht="18.75" x14ac:dyDescent="0.25">
      <c r="L271" s="4">
        <f t="shared" si="5"/>
        <v>5004.3499999999958</v>
      </c>
    </row>
    <row r="272" spans="12:12" ht="18.75" x14ac:dyDescent="0.25">
      <c r="L272" s="4">
        <f t="shared" si="5"/>
        <v>5004.3499999999958</v>
      </c>
    </row>
    <row r="273" spans="12:12" ht="18.75" x14ac:dyDescent="0.25">
      <c r="L273" s="4">
        <f t="shared" si="5"/>
        <v>5004.3499999999958</v>
      </c>
    </row>
    <row r="274" spans="12:12" ht="18.75" x14ac:dyDescent="0.25">
      <c r="L274" s="4">
        <f t="shared" si="5"/>
        <v>5004.3499999999958</v>
      </c>
    </row>
    <row r="275" spans="12:12" ht="18.75" x14ac:dyDescent="0.25">
      <c r="L275" s="4">
        <f t="shared" si="5"/>
        <v>5004.3499999999958</v>
      </c>
    </row>
    <row r="276" spans="12:12" ht="18.75" x14ac:dyDescent="0.25">
      <c r="L276" s="4">
        <f t="shared" si="5"/>
        <v>5004.3499999999958</v>
      </c>
    </row>
    <row r="277" spans="12:12" ht="18.75" x14ac:dyDescent="0.25">
      <c r="L277" s="4">
        <f t="shared" si="5"/>
        <v>5004.3499999999958</v>
      </c>
    </row>
    <row r="278" spans="12:12" ht="18.75" x14ac:dyDescent="0.25">
      <c r="L278" s="4">
        <f t="shared" si="5"/>
        <v>5004.3499999999958</v>
      </c>
    </row>
    <row r="279" spans="12:12" ht="18.75" x14ac:dyDescent="0.25">
      <c r="L279" s="4">
        <f t="shared" si="5"/>
        <v>5004.3499999999958</v>
      </c>
    </row>
    <row r="280" spans="12:12" ht="18.75" x14ac:dyDescent="0.25">
      <c r="L280" s="4">
        <f t="shared" si="5"/>
        <v>5004.3499999999958</v>
      </c>
    </row>
    <row r="281" spans="12:12" ht="18.75" x14ac:dyDescent="0.25">
      <c r="L281" s="4">
        <f t="shared" si="5"/>
        <v>5004.3499999999958</v>
      </c>
    </row>
    <row r="282" spans="12:12" ht="18.75" x14ac:dyDescent="0.25">
      <c r="L282" s="4">
        <f t="shared" si="5"/>
        <v>5004.3499999999958</v>
      </c>
    </row>
    <row r="283" spans="12:12" ht="18.75" x14ac:dyDescent="0.25">
      <c r="L283" s="4">
        <f t="shared" si="5"/>
        <v>5004.3499999999958</v>
      </c>
    </row>
    <row r="284" spans="12:12" ht="18.75" x14ac:dyDescent="0.25">
      <c r="L284" s="4">
        <f t="shared" si="5"/>
        <v>5004.3499999999958</v>
      </c>
    </row>
    <row r="285" spans="12:12" ht="18.75" x14ac:dyDescent="0.25">
      <c r="L285" s="4">
        <f t="shared" si="5"/>
        <v>5004.3499999999958</v>
      </c>
    </row>
    <row r="286" spans="12:12" ht="18.75" x14ac:dyDescent="0.25">
      <c r="L286" s="4">
        <f t="shared" si="5"/>
        <v>5004.3499999999958</v>
      </c>
    </row>
    <row r="287" spans="12:12" ht="18.75" x14ac:dyDescent="0.25">
      <c r="L287" s="4">
        <f t="shared" si="5"/>
        <v>5004.3499999999958</v>
      </c>
    </row>
    <row r="288" spans="12:12" ht="18.75" x14ac:dyDescent="0.25">
      <c r="L288" s="4">
        <f t="shared" si="5"/>
        <v>5004.3499999999958</v>
      </c>
    </row>
    <row r="289" spans="12:12" ht="18.75" x14ac:dyDescent="0.25">
      <c r="L289" s="4">
        <f t="shared" si="5"/>
        <v>5004.3499999999958</v>
      </c>
    </row>
    <row r="290" spans="12:12" ht="18.75" x14ac:dyDescent="0.25">
      <c r="L290" s="4">
        <f t="shared" si="5"/>
        <v>5004.3499999999958</v>
      </c>
    </row>
    <row r="291" spans="12:12" ht="18.75" x14ac:dyDescent="0.25">
      <c r="L291" s="4">
        <f t="shared" si="5"/>
        <v>5004.3499999999958</v>
      </c>
    </row>
    <row r="292" spans="12:12" ht="18.75" x14ac:dyDescent="0.25">
      <c r="L292" s="4">
        <f t="shared" si="5"/>
        <v>5004.3499999999958</v>
      </c>
    </row>
    <row r="293" spans="12:12" ht="18.75" x14ac:dyDescent="0.25">
      <c r="L293" s="4">
        <f t="shared" si="5"/>
        <v>5004.3499999999958</v>
      </c>
    </row>
    <row r="294" spans="12:12" ht="18.75" x14ac:dyDescent="0.25">
      <c r="L294" s="4">
        <f t="shared" si="5"/>
        <v>5004.3499999999958</v>
      </c>
    </row>
    <row r="295" spans="12:12" ht="18.75" x14ac:dyDescent="0.25">
      <c r="L295" s="4">
        <f t="shared" si="5"/>
        <v>5004.3499999999958</v>
      </c>
    </row>
    <row r="296" spans="12:12" ht="18.75" x14ac:dyDescent="0.25">
      <c r="L296" s="4">
        <f t="shared" si="5"/>
        <v>5004.3499999999958</v>
      </c>
    </row>
    <row r="297" spans="12:12" ht="18.75" x14ac:dyDescent="0.25">
      <c r="L297" s="4">
        <f t="shared" si="5"/>
        <v>5004.3499999999958</v>
      </c>
    </row>
    <row r="298" spans="12:12" ht="18.75" x14ac:dyDescent="0.25">
      <c r="L298" s="4">
        <f t="shared" si="5"/>
        <v>5004.3499999999958</v>
      </c>
    </row>
    <row r="299" spans="12:12" ht="18.75" x14ac:dyDescent="0.25">
      <c r="L299" s="4">
        <f t="shared" si="5"/>
        <v>5004.3499999999958</v>
      </c>
    </row>
    <row r="300" spans="12:12" ht="18.75" x14ac:dyDescent="0.25">
      <c r="L300" s="4">
        <f t="shared" si="5"/>
        <v>5004.3499999999958</v>
      </c>
    </row>
    <row r="301" spans="12:12" ht="18.75" x14ac:dyDescent="0.25">
      <c r="L301" s="4">
        <f t="shared" si="5"/>
        <v>5004.3499999999958</v>
      </c>
    </row>
    <row r="302" spans="12:12" ht="18.75" x14ac:dyDescent="0.25">
      <c r="L302" s="4">
        <f t="shared" si="5"/>
        <v>5004.3499999999958</v>
      </c>
    </row>
    <row r="303" spans="12:12" ht="18.75" x14ac:dyDescent="0.25">
      <c r="L303" s="4">
        <f t="shared" si="5"/>
        <v>5004.3499999999958</v>
      </c>
    </row>
    <row r="304" spans="12:12" ht="18.75" x14ac:dyDescent="0.25">
      <c r="L304" s="4">
        <f t="shared" si="5"/>
        <v>5004.3499999999958</v>
      </c>
    </row>
    <row r="305" spans="12:12" ht="18.75" x14ac:dyDescent="0.25">
      <c r="L305" s="4">
        <f t="shared" ref="L305:L320" si="6">L304+K305</f>
        <v>5004.3499999999958</v>
      </c>
    </row>
    <row r="306" spans="12:12" ht="18.75" x14ac:dyDescent="0.25">
      <c r="L306" s="4">
        <f t="shared" si="6"/>
        <v>5004.3499999999958</v>
      </c>
    </row>
    <row r="307" spans="12:12" ht="18.75" x14ac:dyDescent="0.25">
      <c r="L307" s="4">
        <f t="shared" si="6"/>
        <v>5004.3499999999958</v>
      </c>
    </row>
    <row r="308" spans="12:12" ht="18.75" x14ac:dyDescent="0.25">
      <c r="L308" s="4">
        <f t="shared" si="6"/>
        <v>5004.3499999999958</v>
      </c>
    </row>
    <row r="309" spans="12:12" ht="18.75" x14ac:dyDescent="0.25">
      <c r="L309" s="4">
        <f t="shared" si="6"/>
        <v>5004.3499999999958</v>
      </c>
    </row>
    <row r="310" spans="12:12" ht="18.75" x14ac:dyDescent="0.25">
      <c r="L310" s="4">
        <f t="shared" si="6"/>
        <v>5004.3499999999958</v>
      </c>
    </row>
    <row r="311" spans="12:12" ht="18.75" x14ac:dyDescent="0.25">
      <c r="L311" s="4">
        <f t="shared" si="6"/>
        <v>5004.3499999999958</v>
      </c>
    </row>
    <row r="312" spans="12:12" ht="18.75" x14ac:dyDescent="0.25">
      <c r="L312" s="4">
        <f t="shared" si="6"/>
        <v>5004.3499999999958</v>
      </c>
    </row>
    <row r="313" spans="12:12" ht="18.75" x14ac:dyDescent="0.25">
      <c r="L313" s="4">
        <f t="shared" si="6"/>
        <v>5004.3499999999958</v>
      </c>
    </row>
    <row r="314" spans="12:12" ht="18.75" x14ac:dyDescent="0.25">
      <c r="L314" s="4">
        <f t="shared" si="6"/>
        <v>5004.3499999999958</v>
      </c>
    </row>
    <row r="315" spans="12:12" ht="18.75" x14ac:dyDescent="0.25">
      <c r="L315" s="4">
        <f t="shared" si="6"/>
        <v>5004.3499999999958</v>
      </c>
    </row>
    <row r="316" spans="12:12" ht="18.75" x14ac:dyDescent="0.25">
      <c r="L316" s="4">
        <f t="shared" si="6"/>
        <v>5004.3499999999958</v>
      </c>
    </row>
    <row r="317" spans="12:12" ht="18.75" x14ac:dyDescent="0.25">
      <c r="L317" s="4">
        <f t="shared" si="6"/>
        <v>5004.3499999999958</v>
      </c>
    </row>
    <row r="318" spans="12:12" ht="18.75" x14ac:dyDescent="0.25">
      <c r="L318" s="4">
        <f t="shared" si="6"/>
        <v>5004.3499999999958</v>
      </c>
    </row>
    <row r="319" spans="12:12" ht="18.75" x14ac:dyDescent="0.25">
      <c r="L319" s="4">
        <f t="shared" si="6"/>
        <v>5004.3499999999958</v>
      </c>
    </row>
    <row r="320" spans="12:12" ht="18.75" x14ac:dyDescent="0.25">
      <c r="L320" s="4">
        <f t="shared" si="6"/>
        <v>5004.3499999999958</v>
      </c>
    </row>
    <row r="321" spans="12:12" ht="18.75" x14ac:dyDescent="0.25">
      <c r="L321" s="4"/>
    </row>
    <row r="322" spans="12:12" ht="18.75" x14ac:dyDescent="0.25">
      <c r="L322" s="4"/>
    </row>
    <row r="323" spans="12:12" ht="18.75" x14ac:dyDescent="0.25">
      <c r="L323" s="4"/>
    </row>
    <row r="324" spans="12:12" ht="18.75" x14ac:dyDescent="0.25">
      <c r="L324" s="4"/>
    </row>
    <row r="325" spans="12:12" ht="18.75" x14ac:dyDescent="0.25">
      <c r="L325" s="4"/>
    </row>
    <row r="326" spans="12:12" ht="18.75" x14ac:dyDescent="0.25">
      <c r="L326" s="4"/>
    </row>
    <row r="327" spans="12:12" ht="18.75" x14ac:dyDescent="0.25">
      <c r="L327" s="4"/>
    </row>
    <row r="328" spans="12:12" ht="18.75" x14ac:dyDescent="0.25">
      <c r="L328" s="4"/>
    </row>
  </sheetData>
  <autoFilter ref="A1:M1" xr:uid="{C17468E3-5F72-4629-BB19-9AE5344F93DD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2025-01-30T08:03:01Z</dcterms:created>
  <dcterms:modified xsi:type="dcterms:W3CDTF">2025-06-12T03:48:40Z</dcterms:modified>
</cp:coreProperties>
</file>